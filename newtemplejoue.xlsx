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T joués" sheetId="1" r:id="rId5"/>
  </sheets>
  <definedNames>
    <definedName hidden="1" localSheetId="0" name="_xlnm._FilterDatabase">'PT joués'!$A$1:$U$56</definedName>
  </definedNames>
  <calcPr/>
</workbook>
</file>

<file path=xl/sharedStrings.xml><?xml version="1.0" encoding="utf-8"?>
<sst xmlns="http://schemas.openxmlformats.org/spreadsheetml/2006/main" count="235" uniqueCount="110">
  <si>
    <t>ID</t>
  </si>
  <si>
    <t>X</t>
  </si>
  <si>
    <t>Y</t>
  </si>
  <si>
    <t>Nom</t>
  </si>
  <si>
    <t>Mer</t>
  </si>
  <si>
    <t>Effet</t>
  </si>
  <si>
    <t>Owner</t>
  </si>
  <si>
    <t>Effet réduit</t>
  </si>
  <si>
    <t>Type</t>
  </si>
  <si>
    <t>Tier</t>
  </si>
  <si>
    <t>Distance GT</t>
  </si>
  <si>
    <t>BBcode</t>
  </si>
  <si>
    <t>Zone</t>
  </si>
  <si>
    <t>Dif X</t>
  </si>
  <si>
    <t>Dif Y</t>
  </si>
  <si>
    <t>Kallithea</t>
  </si>
  <si>
    <t>Augmente la valeur defensive de toutes les unites de 2%</t>
  </si>
  <si>
    <t>Def</t>
  </si>
  <si>
    <t>2% def all</t>
  </si>
  <si>
    <t>Didyma</t>
  </si>
  <si>
    <t>Gournia</t>
  </si>
  <si>
    <t>Laus</t>
  </si>
  <si>
    <t>Augmente la valeur defensive des Archers de 15%</t>
  </si>
  <si>
    <t>15% archer</t>
  </si>
  <si>
    <t>Akragas</t>
  </si>
  <si>
    <t>Actium</t>
  </si>
  <si>
    <t>Augmente la valeur defensive des Combattants a l'epee de 15%</t>
  </si>
  <si>
    <t>15% CE</t>
  </si>
  <si>
    <t>Iasos</t>
  </si>
  <si>
    <t>Pteleum</t>
  </si>
  <si>
    <t>Myndus</t>
  </si>
  <si>
    <t>Augmente la valeur defensive des Hoplites de 15%</t>
  </si>
  <si>
    <t>15% hop</t>
  </si>
  <si>
    <t>Chamaizi</t>
  </si>
  <si>
    <t>Parium</t>
  </si>
  <si>
    <t>Augmente la puissance offensive de Bateaux-feux de 8%</t>
  </si>
  <si>
    <t>Off nav</t>
  </si>
  <si>
    <t>8% bf</t>
  </si>
  <si>
    <t>Rizinia</t>
  </si>
  <si>
    <t>Amaseia</t>
  </si>
  <si>
    <t>Kasmenai</t>
  </si>
  <si>
    <t>Augmente la valeur offensive de toutes les unites de 3%</t>
  </si>
  <si>
    <t>3% off all</t>
  </si>
  <si>
    <t>Parthenopolis</t>
  </si>
  <si>
    <t>Augmente la valeur offensive de toutes les unites navales de 5%</t>
  </si>
  <si>
    <t>5% nav</t>
  </si>
  <si>
    <t>Alalia</t>
  </si>
  <si>
    <t>Aegae</t>
  </si>
  <si>
    <t>Augmente le bonus de concentration de la chasseresse de 10% supplementaires</t>
  </si>
  <si>
    <t>10% chass</t>
  </si>
  <si>
    <t>Methumna</t>
  </si>
  <si>
    <t>Tragurion</t>
  </si>
  <si>
    <t>Thebai</t>
  </si>
  <si>
    <t>Augmente toutes les valeurs offensives des armes De jet de 8%</t>
  </si>
  <si>
    <t>8% arme de jet</t>
  </si>
  <si>
    <t>Maenace</t>
  </si>
  <si>
    <t>Augmente la puissance offensive de Cavaliers de 10%</t>
  </si>
  <si>
    <t>Off terr</t>
  </si>
  <si>
    <t>10% cava</t>
  </si>
  <si>
    <t>Assus</t>
  </si>
  <si>
    <t>Cynossema</t>
  </si>
  <si>
    <t>Olympie</t>
  </si>
  <si>
    <t>Augmente la puissance offensive de Griffons de 8%</t>
  </si>
  <si>
    <t>8% griffons</t>
  </si>
  <si>
    <t>Siteia</t>
  </si>
  <si>
    <t>Ephyra</t>
  </si>
  <si>
    <t>Augmente la valeur offensive de toutes les unites terrestres non mythiques de 8%</t>
  </si>
  <si>
    <t>8% non-um</t>
  </si>
  <si>
    <t>Lato</t>
  </si>
  <si>
    <t>Emporion</t>
  </si>
  <si>
    <t>Mycenes</t>
  </si>
  <si>
    <t>Augmente toutes les valeurs offensives des armes Contondant de 8%</t>
  </si>
  <si>
    <t>8% cont</t>
  </si>
  <si>
    <t>Pavlopetri</t>
  </si>
  <si>
    <t>Sklavokampos</t>
  </si>
  <si>
    <t>Portail vers Olympus</t>
  </si>
  <si>
    <t>Portail</t>
  </si>
  <si>
    <t>Nicaea</t>
  </si>
  <si>
    <t>Argos</t>
  </si>
  <si>
    <t>Therma</t>
  </si>
  <si>
    <t>Ialysos</t>
  </si>
  <si>
    <t>Lilaea</t>
  </si>
  <si>
    <t>Itanos</t>
  </si>
  <si>
    <t>Copae</t>
  </si>
  <si>
    <t>Kannia</t>
  </si>
  <si>
    <t>Cythera</t>
  </si>
  <si>
    <t>Troie</t>
  </si>
  <si>
    <t>Portail 2</t>
  </si>
  <si>
    <t>Delos</t>
  </si>
  <si>
    <t>Adramyttium</t>
  </si>
  <si>
    <t>Reduire tous les couts de recrutement d'unites navales de 6%</t>
  </si>
  <si>
    <t>Prod</t>
  </si>
  <si>
    <t>6% cout nav</t>
  </si>
  <si>
    <t>Olous</t>
  </si>
  <si>
    <t>Artemita</t>
  </si>
  <si>
    <t>Heraclea</t>
  </si>
  <si>
    <t>Reduit tous les couts de recrutement d'unites terrestres de 10%</t>
  </si>
  <si>
    <t>10% cout ter</t>
  </si>
  <si>
    <t>Pseira</t>
  </si>
  <si>
    <t>Abydos</t>
  </si>
  <si>
    <t>Chytri</t>
  </si>
  <si>
    <t>Reduit tous les couts de recrutement d'unites terrestres de 6%</t>
  </si>
  <si>
    <t>Amphipolis</t>
  </si>
  <si>
    <t>Pharos</t>
  </si>
  <si>
    <t>Thyria</t>
  </si>
  <si>
    <t>Pydna</t>
  </si>
  <si>
    <t>Poubelle</t>
  </si>
  <si>
    <t>Gortyn</t>
  </si>
  <si>
    <t>Lessa</t>
  </si>
  <si>
    <t>6% cout 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</si>
</sst>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999999"/>
        <bgColor rgb="FF999999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76A5AF"/>
        <bgColor rgb="FF76A5AF"/>
      </patternFill>
    </fill>
  </fills>
  <borders count="2">
    <border/>
    <border>
      <left style="medium">
        <color rgb="FF000000"/>
      </left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2" numFmtId="0" xfId="0" applyBorder="1" applyFont="1"/>
    <xf borderId="0" fillId="0" fontId="2" numFmtId="4" xfId="0" applyFont="1" applyNumberFormat="1"/>
    <xf borderId="0" fillId="2" fontId="1" numFmtId="0" xfId="0" applyFill="1" applyFont="1"/>
    <xf borderId="0" fillId="2" fontId="2" numFmtId="0" xfId="0" applyFont="1"/>
    <xf borderId="1" fillId="2" fontId="2" numFmtId="0" xfId="0" applyBorder="1" applyFont="1"/>
    <xf borderId="0" fillId="2" fontId="2" numFmtId="4" xfId="0" applyAlignment="1" applyFont="1" applyNumberFormat="1">
      <alignment shrinkToFit="0" wrapText="0"/>
    </xf>
    <xf borderId="0" fillId="2" fontId="2" numFmtId="0" xfId="0" applyAlignment="1" applyFont="1">
      <alignment shrinkToFit="0" wrapText="0"/>
    </xf>
    <xf borderId="0" fillId="2" fontId="1" numFmtId="0" xfId="0" applyAlignment="1" applyFont="1">
      <alignment horizontal="right" vertical="bottom"/>
    </xf>
    <xf borderId="0" fillId="2" fontId="2" numFmtId="0" xfId="0" applyAlignment="1" applyFont="1">
      <alignment horizontal="right" vertical="bottom"/>
    </xf>
    <xf borderId="0" fillId="2" fontId="2" numFmtId="0" xfId="0" applyAlignment="1" applyFont="1">
      <alignment vertical="bottom"/>
    </xf>
    <xf borderId="0" fillId="2" fontId="2" numFmtId="0" xfId="0" applyAlignment="1" applyFont="1">
      <alignment horizontal="center" vertical="bottom"/>
    </xf>
    <xf borderId="0" fillId="2" fontId="2" numFmtId="4" xfId="0" applyAlignment="1" applyFont="1" applyNumberForma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3" fontId="1" numFmtId="0" xfId="0" applyFill="1" applyFont="1"/>
    <xf borderId="0" fillId="3" fontId="2" numFmtId="0" xfId="0" applyFont="1"/>
    <xf borderId="1" fillId="3" fontId="2" numFmtId="0" xfId="0" applyBorder="1" applyFont="1"/>
    <xf borderId="0" fillId="3" fontId="2" numFmtId="4" xfId="0" applyAlignment="1" applyFont="1" applyNumberFormat="1">
      <alignment shrinkToFit="0" wrapText="0"/>
    </xf>
    <xf borderId="0" fillId="3" fontId="2" numFmtId="0" xfId="0" applyAlignment="1" applyFont="1">
      <alignment shrinkToFit="0" wrapText="0"/>
    </xf>
    <xf borderId="0" fillId="3" fontId="1" numFmtId="0" xfId="0" applyAlignment="1" applyFont="1">
      <alignment horizontal="right" vertical="bottom"/>
    </xf>
    <xf borderId="0" fillId="3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3" fontId="2" numFmtId="0" xfId="0" applyAlignment="1" applyFont="1">
      <alignment horizontal="center" vertical="bottom"/>
    </xf>
    <xf borderId="0" fillId="3" fontId="2" numFmtId="4" xfId="0" applyAlignment="1" applyFont="1" applyNumberFormat="1">
      <alignment horizontal="center" vertical="bottom"/>
    </xf>
    <xf borderId="0" fillId="4" fontId="1" numFmtId="0" xfId="0" applyFill="1" applyFont="1"/>
    <xf borderId="0" fillId="4" fontId="2" numFmtId="0" xfId="0" applyFont="1"/>
    <xf borderId="1" fillId="4" fontId="2" numFmtId="0" xfId="0" applyBorder="1" applyFont="1"/>
    <xf borderId="0" fillId="4" fontId="2" numFmtId="4" xfId="0" applyAlignment="1" applyFont="1" applyNumberFormat="1">
      <alignment shrinkToFit="0" wrapText="0"/>
    </xf>
    <xf borderId="0" fillId="4" fontId="2" numFmtId="0" xfId="0" applyAlignment="1" applyFont="1">
      <alignment shrinkToFit="0" wrapText="0"/>
    </xf>
    <xf borderId="0" fillId="4" fontId="1" numFmtId="0" xfId="0" applyAlignment="1" applyFont="1">
      <alignment horizontal="right" vertical="bottom"/>
    </xf>
    <xf borderId="0" fillId="4" fontId="2" numFmtId="0" xfId="0" applyAlignment="1" applyFont="1">
      <alignment horizontal="right" vertical="bottom"/>
    </xf>
    <xf borderId="0" fillId="4" fontId="2" numFmtId="0" xfId="0" applyAlignment="1" applyFont="1">
      <alignment vertical="bottom"/>
    </xf>
    <xf borderId="0" fillId="4" fontId="2" numFmtId="0" xfId="0" applyAlignment="1" applyFont="1">
      <alignment horizontal="center" vertical="bottom"/>
    </xf>
    <xf borderId="0" fillId="4" fontId="2" numFmtId="4" xfId="0" applyAlignment="1" applyFont="1" applyNumberFormat="1">
      <alignment horizontal="center" vertical="bottom"/>
    </xf>
    <xf borderId="0" fillId="5" fontId="1" numFmtId="0" xfId="0" applyFill="1" applyFont="1"/>
    <xf borderId="0" fillId="5" fontId="2" numFmtId="0" xfId="0" applyFont="1"/>
    <xf borderId="1" fillId="5" fontId="2" numFmtId="0" xfId="0" applyBorder="1" applyFont="1"/>
    <xf borderId="0" fillId="5" fontId="2" numFmtId="4" xfId="0" applyAlignment="1" applyFont="1" applyNumberFormat="1">
      <alignment shrinkToFit="0" wrapText="0"/>
    </xf>
    <xf borderId="0" fillId="5" fontId="2" numFmtId="0" xfId="0" applyAlignment="1" applyFont="1">
      <alignment shrinkToFit="0" wrapText="0"/>
    </xf>
    <xf borderId="0" fillId="6" fontId="2" numFmtId="0" xfId="0" applyFill="1" applyFont="1"/>
    <xf borderId="0" fillId="5" fontId="1" numFmtId="0" xfId="0" applyAlignment="1" applyFont="1">
      <alignment horizontal="right" vertical="bottom"/>
    </xf>
    <xf borderId="0" fillId="5" fontId="2" numFmtId="0" xfId="0" applyAlignment="1" applyFont="1">
      <alignment horizontal="right" vertical="bottom"/>
    </xf>
    <xf borderId="0" fillId="5" fontId="2" numFmtId="0" xfId="0" applyAlignment="1" applyFont="1">
      <alignment vertical="bottom"/>
    </xf>
    <xf borderId="0" fillId="5" fontId="2" numFmtId="0" xfId="0" applyAlignment="1" applyFont="1">
      <alignment horizontal="center" vertical="bottom"/>
    </xf>
    <xf borderId="0" fillId="5" fontId="2" numFmtId="4" xfId="0" applyAlignment="1" applyFont="1" applyNumberFormat="1">
      <alignment horizontal="center" vertical="bottom"/>
    </xf>
    <xf borderId="0" fillId="7" fontId="1" numFmtId="0" xfId="0" applyAlignment="1" applyFill="1" applyFont="1">
      <alignment horizontal="right" vertical="bottom"/>
    </xf>
    <xf borderId="0" fillId="7" fontId="2" numFmtId="0" xfId="0" applyAlignment="1" applyFont="1">
      <alignment horizontal="right" vertical="bottom"/>
    </xf>
    <xf borderId="0" fillId="7" fontId="2" numFmtId="0" xfId="0" applyAlignment="1" applyFont="1">
      <alignment vertical="bottom"/>
    </xf>
    <xf borderId="0" fillId="7" fontId="2" numFmtId="0" xfId="0" applyAlignment="1" applyFont="1">
      <alignment readingOrder="0"/>
    </xf>
    <xf borderId="0" fillId="7" fontId="2" numFmtId="0" xfId="0" applyFont="1"/>
    <xf borderId="0" fillId="7" fontId="2" numFmtId="0" xfId="0" applyAlignment="1" applyFont="1">
      <alignment horizontal="center" vertical="bottom"/>
    </xf>
    <xf borderId="0" fillId="7" fontId="2" numFmtId="4" xfId="0" applyAlignment="1" applyFont="1" applyNumberFormat="1">
      <alignment horizontal="center" vertical="bottom"/>
    </xf>
    <xf borderId="0" fillId="8" fontId="1" numFmtId="0" xfId="0" applyFill="1" applyFont="1"/>
    <xf borderId="0" fillId="8" fontId="2" numFmtId="0" xfId="0" applyFont="1"/>
    <xf borderId="1" fillId="8" fontId="2" numFmtId="0" xfId="0" applyBorder="1" applyFont="1"/>
    <xf borderId="0" fillId="8" fontId="2" numFmtId="4" xfId="0" applyAlignment="1" applyFont="1" applyNumberFormat="1">
      <alignment shrinkToFit="0" wrapText="0"/>
    </xf>
    <xf borderId="0" fillId="8" fontId="2" numFmtId="0" xfId="0" applyAlignment="1" applyFont="1">
      <alignment shrinkToFit="0" wrapText="0"/>
    </xf>
    <xf borderId="0" fillId="8" fontId="1" numFmtId="0" xfId="0" applyAlignment="1" applyFont="1">
      <alignment horizontal="right" vertical="bottom"/>
    </xf>
    <xf borderId="0" fillId="8" fontId="2" numFmtId="0" xfId="0" applyAlignment="1" applyFont="1">
      <alignment horizontal="right" vertical="bottom"/>
    </xf>
    <xf borderId="0" fillId="8" fontId="2" numFmtId="0" xfId="0" applyAlignment="1" applyFont="1">
      <alignment vertical="bottom"/>
    </xf>
    <xf borderId="0" fillId="8" fontId="2" numFmtId="0" xfId="0" applyAlignment="1" applyFont="1">
      <alignment horizontal="center" vertical="bottom"/>
    </xf>
    <xf borderId="0" fillId="8" fontId="2" numFmtId="4" xfId="0" applyAlignment="1" applyFont="1" applyNumberFormat="1">
      <alignment horizontal="center" vertical="bottom"/>
    </xf>
    <xf borderId="0" fillId="8" fontId="1" numFmtId="0" xfId="0" applyAlignment="1" applyFont="1">
      <alignment horizontal="right" vertical="bottom"/>
    </xf>
    <xf borderId="0" fillId="8" fontId="2" numFmtId="0" xfId="0" applyAlignment="1" applyFont="1">
      <alignment horizontal="right" vertical="bottom"/>
    </xf>
    <xf borderId="0" fillId="8" fontId="1" numFmtId="0" xfId="0" applyAlignment="1" applyFont="1">
      <alignment vertical="bottom"/>
    </xf>
    <xf borderId="0" fillId="8" fontId="2" numFmtId="0" xfId="0" applyAlignment="1" applyFont="1">
      <alignment vertical="bottom"/>
    </xf>
    <xf borderId="0" fillId="8" fontId="2" numFmtId="0" xfId="0" applyAlignment="1" applyFont="1">
      <alignment horizontal="center" vertical="bottom"/>
    </xf>
    <xf borderId="0" fillId="9" fontId="1" numFmtId="0" xfId="0" applyAlignment="1" applyFill="1" applyFont="1">
      <alignment horizontal="right" vertical="bottom"/>
    </xf>
    <xf borderId="0" fillId="9" fontId="2" numFmtId="0" xfId="0" applyAlignment="1" applyFont="1">
      <alignment horizontal="right" vertical="bottom"/>
    </xf>
    <xf borderId="0" fillId="9" fontId="2" numFmtId="0" xfId="0" applyAlignment="1" applyFont="1">
      <alignment vertical="bottom"/>
    </xf>
    <xf borderId="0" fillId="9" fontId="2" numFmtId="0" xfId="0" applyAlignment="1" applyFont="1">
      <alignment horizontal="right" vertical="bottom"/>
    </xf>
    <xf borderId="0" fillId="9" fontId="2" numFmtId="0" xfId="0" applyAlignment="1" applyFont="1">
      <alignment vertical="bottom"/>
    </xf>
    <xf borderId="0" fillId="9" fontId="2" numFmtId="0" xfId="0" applyAlignment="1" applyFont="1">
      <alignment readingOrder="0" vertical="bottom"/>
    </xf>
    <xf borderId="1" fillId="9" fontId="2" numFmtId="0" xfId="0" applyBorder="1" applyFont="1"/>
    <xf borderId="0" fillId="9" fontId="2" numFmtId="0" xfId="0" applyAlignment="1" applyFont="1">
      <alignment horizontal="center" vertical="bottom"/>
    </xf>
    <xf borderId="0" fillId="9" fontId="2" numFmtId="0" xfId="0" applyAlignment="1" applyFont="1">
      <alignment horizontal="center" vertical="bottom"/>
    </xf>
    <xf borderId="0" fillId="9" fontId="2" numFmtId="4" xfId="0" applyAlignment="1" applyFont="1" applyNumberFormat="1">
      <alignment horizontal="center" vertical="bottom"/>
    </xf>
    <xf borderId="0" fillId="9" fontId="1" numFmtId="0" xfId="0" applyFont="1"/>
    <xf borderId="0" fillId="9" fontId="2" numFmtId="0" xfId="0" applyFont="1"/>
    <xf borderId="0" fillId="9" fontId="2" numFmtId="4" xfId="0" applyAlignment="1" applyFont="1" applyNumberFormat="1">
      <alignment shrinkToFit="0" wrapText="0"/>
    </xf>
    <xf borderId="0" fillId="9" fontId="2" numFmtId="0" xfId="0" applyAlignment="1" applyFont="1">
      <alignment shrinkToFit="0" wrapText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38"/>
    <col customWidth="1" min="2" max="2" width="6.13"/>
    <col customWidth="1" min="3" max="3" width="4.63"/>
    <col customWidth="1" min="4" max="4" width="13.63"/>
    <col customWidth="1" min="5" max="5" width="6.5"/>
    <col customWidth="1" min="6" max="6" width="79.75"/>
    <col customWidth="1" min="7" max="7" width="22.25"/>
    <col customWidth="1" min="9" max="9" width="18.13"/>
    <col customWidth="1" min="10" max="10" width="6.5"/>
    <col customWidth="1" min="11" max="11" width="15.25"/>
    <col customWidth="1" min="12" max="12" width="16.13"/>
    <col customWidth="1" min="14" max="15" width="4.6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4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ht="15.75" customHeight="1">
      <c r="A2" s="5">
        <v>78.0</v>
      </c>
      <c r="B2" s="6">
        <v>319.0</v>
      </c>
      <c r="C2" s="6">
        <v>449.0</v>
      </c>
      <c r="D2" s="6" t="s">
        <v>15</v>
      </c>
      <c r="E2" s="6">
        <v>34.0</v>
      </c>
      <c r="F2" s="6" t="s">
        <v>16</v>
      </c>
      <c r="G2" s="6" t="s">
        <v>17</v>
      </c>
      <c r="H2" s="7" t="s">
        <v>18</v>
      </c>
      <c r="I2" s="6" t="str">
        <f t="shared" ref="I2:I10" si="2">VLOOKUP(F2,'Listing Effets'!$A$2:$D$101,2,FALSE)</f>
        <v>#REF!</v>
      </c>
      <c r="J2" s="6" t="str">
        <f t="shared" ref="J2:J10" si="3">VLOOKUP(F2,'Listing Effets'!$A$2:$D$101,3,FALSE)</f>
        <v>#REF!</v>
      </c>
      <c r="K2" s="8" t="str">
        <f t="shared" ref="K2:K10" si="4">ABS(SQRT((C2-500)^2+(B2-500)^2)-Calculs!$C$6)</f>
        <v>#REF!</v>
      </c>
      <c r="L2" s="9" t="str">
        <f t="shared" ref="L2:L56" si="5">CONCAT(CONCAT("[temple]",A2),"[/temple]")</f>
        <v>[temple]78[/temple]</v>
      </c>
      <c r="M2" s="6" t="str">
        <f t="shared" ref="M2:M10" si="6">IF(ABS(SQRT((C2-500)^2+(B2-500)^2))&lt;Calculs!$C$7,"Inté",IF(K2&gt;Calculs!$C$8,"Exté",IF(AND(N2&lt;=0,O2&lt;=0),"Nord-Ouest",IF(AND(N2&lt;=0,O2&gt;=0),"Sud-Ouest",IF(AND(N2&gt;=0,O2&lt;=0),"Nord-Est",IF(AND(N2&gt;=0,O2&gt;=0),"Sud-Est","Probleme"))))))</f>
        <v>#REF!</v>
      </c>
      <c r="N2" s="6">
        <f t="shared" ref="N2:O2" si="1">B2-500</f>
        <v>-181</v>
      </c>
      <c r="O2" s="6">
        <f t="shared" si="1"/>
        <v>-51</v>
      </c>
      <c r="P2" s="6"/>
      <c r="Q2" s="6"/>
      <c r="R2" s="6"/>
      <c r="S2" s="6"/>
      <c r="T2" s="6"/>
      <c r="U2" s="6"/>
    </row>
    <row r="3" ht="15.75" customHeight="1">
      <c r="A3" s="5">
        <v>60.0</v>
      </c>
      <c r="B3" s="6">
        <v>334.0</v>
      </c>
      <c r="C3" s="6">
        <v>543.0</v>
      </c>
      <c r="D3" s="6" t="s">
        <v>19</v>
      </c>
      <c r="E3" s="6">
        <v>35.0</v>
      </c>
      <c r="F3" s="6" t="s">
        <v>16</v>
      </c>
      <c r="G3" s="6" t="s">
        <v>17</v>
      </c>
      <c r="H3" s="7" t="s">
        <v>18</v>
      </c>
      <c r="I3" s="6" t="str">
        <f t="shared" si="2"/>
        <v>#REF!</v>
      </c>
      <c r="J3" s="6" t="str">
        <f t="shared" si="3"/>
        <v>#REF!</v>
      </c>
      <c r="K3" s="8" t="str">
        <f t="shared" si="4"/>
        <v>#REF!</v>
      </c>
      <c r="L3" s="9" t="str">
        <f t="shared" si="5"/>
        <v>[temple]60[/temple]</v>
      </c>
      <c r="M3" s="6" t="str">
        <f t="shared" si="6"/>
        <v>#REF!</v>
      </c>
      <c r="N3" s="6">
        <f t="shared" ref="N3:O3" si="7">B3-500</f>
        <v>-166</v>
      </c>
      <c r="O3" s="6">
        <f t="shared" si="7"/>
        <v>43</v>
      </c>
      <c r="P3" s="6"/>
      <c r="Q3" s="6"/>
      <c r="R3" s="6"/>
      <c r="S3" s="6"/>
      <c r="T3" s="6"/>
      <c r="U3" s="6"/>
    </row>
    <row r="4" ht="15.75" customHeight="1">
      <c r="A4" s="5">
        <v>66.0</v>
      </c>
      <c r="B4" s="6">
        <v>480.0</v>
      </c>
      <c r="C4" s="6">
        <v>678.0</v>
      </c>
      <c r="D4" s="6" t="s">
        <v>20</v>
      </c>
      <c r="E4" s="6">
        <v>46.0</v>
      </c>
      <c r="F4" s="6" t="s">
        <v>16</v>
      </c>
      <c r="G4" s="6" t="s">
        <v>17</v>
      </c>
      <c r="H4" s="7" t="s">
        <v>18</v>
      </c>
      <c r="I4" s="6" t="str">
        <f t="shared" si="2"/>
        <v>#REF!</v>
      </c>
      <c r="J4" s="6" t="str">
        <f t="shared" si="3"/>
        <v>#REF!</v>
      </c>
      <c r="K4" s="8" t="str">
        <f t="shared" si="4"/>
        <v>#REF!</v>
      </c>
      <c r="L4" s="9" t="str">
        <f t="shared" si="5"/>
        <v>[temple]66[/temple]</v>
      </c>
      <c r="M4" s="6" t="str">
        <f t="shared" si="6"/>
        <v>#REF!</v>
      </c>
      <c r="N4" s="6">
        <f t="shared" ref="N4:O4" si="8">B4-500</f>
        <v>-20</v>
      </c>
      <c r="O4" s="6">
        <f t="shared" si="8"/>
        <v>178</v>
      </c>
      <c r="P4" s="6"/>
      <c r="Q4" s="6"/>
      <c r="R4" s="6"/>
      <c r="S4" s="6"/>
      <c r="T4" s="6"/>
      <c r="U4" s="6"/>
    </row>
    <row r="5" ht="15.75" customHeight="1">
      <c r="A5" s="5">
        <v>14.0</v>
      </c>
      <c r="B5" s="6">
        <v>480.0</v>
      </c>
      <c r="C5" s="6">
        <v>570.0</v>
      </c>
      <c r="D5" s="6" t="s">
        <v>21</v>
      </c>
      <c r="E5" s="6">
        <v>45.0</v>
      </c>
      <c r="F5" s="6" t="s">
        <v>22</v>
      </c>
      <c r="G5" s="6" t="s">
        <v>17</v>
      </c>
      <c r="H5" s="7" t="s">
        <v>23</v>
      </c>
      <c r="I5" s="6" t="str">
        <f t="shared" si="2"/>
        <v>#REF!</v>
      </c>
      <c r="J5" s="6" t="str">
        <f t="shared" si="3"/>
        <v>#REF!</v>
      </c>
      <c r="K5" s="8" t="str">
        <f t="shared" si="4"/>
        <v>#REF!</v>
      </c>
      <c r="L5" s="9" t="str">
        <f t="shared" si="5"/>
        <v>[temple]14[/temple]</v>
      </c>
      <c r="M5" s="6" t="str">
        <f t="shared" si="6"/>
        <v>#REF!</v>
      </c>
      <c r="N5" s="6">
        <f t="shared" ref="N5:O5" si="9">B5-500</f>
        <v>-20</v>
      </c>
      <c r="O5" s="6">
        <f t="shared" si="9"/>
        <v>70</v>
      </c>
      <c r="P5" s="6"/>
      <c r="Q5" s="6"/>
      <c r="R5" s="6"/>
      <c r="S5" s="6"/>
      <c r="T5" s="6"/>
      <c r="U5" s="6"/>
    </row>
    <row r="6" ht="15.75" customHeight="1">
      <c r="A6" s="5">
        <v>123.0</v>
      </c>
      <c r="B6" s="6">
        <v>537.0</v>
      </c>
      <c r="C6" s="6">
        <v>276.0</v>
      </c>
      <c r="D6" s="6" t="s">
        <v>24</v>
      </c>
      <c r="E6" s="6">
        <v>52.0</v>
      </c>
      <c r="F6" s="6" t="s">
        <v>22</v>
      </c>
      <c r="G6" s="6" t="s">
        <v>17</v>
      </c>
      <c r="H6" s="7" t="s">
        <v>23</v>
      </c>
      <c r="I6" s="6" t="str">
        <f t="shared" si="2"/>
        <v>#REF!</v>
      </c>
      <c r="J6" s="6" t="str">
        <f t="shared" si="3"/>
        <v>#REF!</v>
      </c>
      <c r="K6" s="8" t="str">
        <f t="shared" si="4"/>
        <v>#REF!</v>
      </c>
      <c r="L6" s="9" t="str">
        <f t="shared" si="5"/>
        <v>[temple]123[/temple]</v>
      </c>
      <c r="M6" s="6" t="str">
        <f t="shared" si="6"/>
        <v>#REF!</v>
      </c>
      <c r="N6" s="6">
        <f t="shared" ref="N6:O6" si="10">B6-500</f>
        <v>37</v>
      </c>
      <c r="O6" s="6">
        <f t="shared" si="10"/>
        <v>-224</v>
      </c>
      <c r="P6" s="6"/>
      <c r="Q6" s="6"/>
      <c r="R6" s="6"/>
      <c r="S6" s="6"/>
      <c r="T6" s="6"/>
      <c r="U6" s="6"/>
    </row>
    <row r="7" ht="15.75" customHeight="1">
      <c r="A7" s="5">
        <v>84.0</v>
      </c>
      <c r="B7" s="6">
        <v>532.0</v>
      </c>
      <c r="C7" s="6">
        <v>307.0</v>
      </c>
      <c r="D7" s="6" t="s">
        <v>25</v>
      </c>
      <c r="E7" s="6">
        <v>53.0</v>
      </c>
      <c r="F7" s="6" t="s">
        <v>26</v>
      </c>
      <c r="G7" s="6" t="s">
        <v>17</v>
      </c>
      <c r="H7" s="7" t="s">
        <v>27</v>
      </c>
      <c r="I7" s="6" t="str">
        <f t="shared" si="2"/>
        <v>#REF!</v>
      </c>
      <c r="J7" s="6" t="str">
        <f t="shared" si="3"/>
        <v>#REF!</v>
      </c>
      <c r="K7" s="8" t="str">
        <f t="shared" si="4"/>
        <v>#REF!</v>
      </c>
      <c r="L7" s="9" t="str">
        <f t="shared" si="5"/>
        <v>[temple]84[/temple]</v>
      </c>
      <c r="M7" s="6" t="str">
        <f t="shared" si="6"/>
        <v>#REF!</v>
      </c>
      <c r="N7" s="6">
        <f t="shared" ref="N7:O7" si="11">B7-500</f>
        <v>32</v>
      </c>
      <c r="O7" s="6">
        <f t="shared" si="11"/>
        <v>-193</v>
      </c>
      <c r="P7" s="6"/>
      <c r="Q7" s="6"/>
      <c r="R7" s="6"/>
      <c r="S7" s="6"/>
      <c r="T7" s="6"/>
      <c r="U7" s="6"/>
    </row>
    <row r="8" ht="15.75" customHeight="1">
      <c r="A8" s="5">
        <v>74.0</v>
      </c>
      <c r="B8" s="6">
        <v>637.0</v>
      </c>
      <c r="C8" s="6">
        <v>365.0</v>
      </c>
      <c r="D8" s="6" t="s">
        <v>28</v>
      </c>
      <c r="E8" s="6">
        <v>63.0</v>
      </c>
      <c r="F8" s="6" t="s">
        <v>26</v>
      </c>
      <c r="G8" s="6" t="s">
        <v>17</v>
      </c>
      <c r="H8" s="7" t="s">
        <v>27</v>
      </c>
      <c r="I8" s="6" t="str">
        <f t="shared" si="2"/>
        <v>#REF!</v>
      </c>
      <c r="J8" s="6" t="str">
        <f t="shared" si="3"/>
        <v>#REF!</v>
      </c>
      <c r="K8" s="8" t="str">
        <f t="shared" si="4"/>
        <v>#REF!</v>
      </c>
      <c r="L8" s="9" t="str">
        <f t="shared" si="5"/>
        <v>[temple]74[/temple]</v>
      </c>
      <c r="M8" s="6" t="str">
        <f t="shared" si="6"/>
        <v>#REF!</v>
      </c>
      <c r="N8" s="6">
        <f t="shared" ref="N8:O8" si="12">B8-500</f>
        <v>137</v>
      </c>
      <c r="O8" s="6">
        <f t="shared" si="12"/>
        <v>-135</v>
      </c>
      <c r="P8" s="6"/>
      <c r="Q8" s="6"/>
      <c r="R8" s="6"/>
      <c r="S8" s="6"/>
      <c r="T8" s="6"/>
      <c r="U8" s="6"/>
    </row>
    <row r="9" ht="15.75" customHeight="1">
      <c r="A9" s="5">
        <v>86.0</v>
      </c>
      <c r="B9" s="6">
        <v>658.0</v>
      </c>
      <c r="C9" s="6">
        <v>338.0</v>
      </c>
      <c r="D9" s="6" t="s">
        <v>29</v>
      </c>
      <c r="E9" s="6">
        <v>63.0</v>
      </c>
      <c r="F9" s="6" t="s">
        <v>26</v>
      </c>
      <c r="G9" s="6" t="s">
        <v>17</v>
      </c>
      <c r="H9" s="7" t="s">
        <v>27</v>
      </c>
      <c r="I9" s="6" t="str">
        <f t="shared" si="2"/>
        <v>#REF!</v>
      </c>
      <c r="J9" s="6" t="str">
        <f t="shared" si="3"/>
        <v>#REF!</v>
      </c>
      <c r="K9" s="8" t="str">
        <f t="shared" si="4"/>
        <v>#REF!</v>
      </c>
      <c r="L9" s="9" t="str">
        <f t="shared" si="5"/>
        <v>[temple]86[/temple]</v>
      </c>
      <c r="M9" s="6" t="str">
        <f t="shared" si="6"/>
        <v>#REF!</v>
      </c>
      <c r="N9" s="6">
        <f t="shared" ref="N9:O9" si="13">B9-500</f>
        <v>158</v>
      </c>
      <c r="O9" s="6">
        <f t="shared" si="13"/>
        <v>-162</v>
      </c>
      <c r="P9" s="6"/>
      <c r="Q9" s="6"/>
      <c r="R9" s="6"/>
      <c r="S9" s="6"/>
      <c r="T9" s="6"/>
      <c r="U9" s="6"/>
    </row>
    <row r="10" ht="15.75" customHeight="1">
      <c r="A10" s="5">
        <v>91.0</v>
      </c>
      <c r="B10" s="6">
        <v>689.0</v>
      </c>
      <c r="C10" s="6">
        <v>614.0</v>
      </c>
      <c r="D10" s="6" t="s">
        <v>30</v>
      </c>
      <c r="E10" s="6">
        <v>66.0</v>
      </c>
      <c r="F10" s="6" t="s">
        <v>31</v>
      </c>
      <c r="G10" s="6" t="s">
        <v>17</v>
      </c>
      <c r="H10" s="7" t="s">
        <v>32</v>
      </c>
      <c r="I10" s="6" t="str">
        <f t="shared" si="2"/>
        <v>#REF!</v>
      </c>
      <c r="J10" s="6" t="str">
        <f t="shared" si="3"/>
        <v>#REF!</v>
      </c>
      <c r="K10" s="8" t="str">
        <f t="shared" si="4"/>
        <v>#REF!</v>
      </c>
      <c r="L10" s="9" t="str">
        <f t="shared" si="5"/>
        <v>[temple]91[/temple]</v>
      </c>
      <c r="M10" s="6" t="str">
        <f t="shared" si="6"/>
        <v>#REF!</v>
      </c>
      <c r="N10" s="6">
        <f t="shared" ref="N10:O10" si="14">B10-500</f>
        <v>189</v>
      </c>
      <c r="O10" s="6">
        <f t="shared" si="14"/>
        <v>114</v>
      </c>
      <c r="P10" s="6"/>
      <c r="Q10" s="6"/>
      <c r="R10" s="6"/>
      <c r="S10" s="6"/>
      <c r="T10" s="6"/>
      <c r="U10" s="6"/>
    </row>
    <row r="11" ht="15.75" customHeight="1">
      <c r="A11" s="10">
        <v>28.0</v>
      </c>
      <c r="B11" s="11">
        <v>440.0</v>
      </c>
      <c r="C11" s="11">
        <v>383.0</v>
      </c>
      <c r="D11" s="12" t="s">
        <v>33</v>
      </c>
      <c r="E11" s="11">
        <v>43.0</v>
      </c>
      <c r="F11" s="12" t="s">
        <v>16</v>
      </c>
      <c r="G11" s="6" t="s">
        <v>17</v>
      </c>
      <c r="H11" s="7" t="s">
        <v>18</v>
      </c>
      <c r="I11" s="13" t="str">
        <f>VLOOKUP(F11,'Listing Effets'!$A$2:$D$101,2,FALSE)</f>
        <v>#REF!</v>
      </c>
      <c r="J11" s="13" t="str">
        <f>VLOOKUP(F11,'Listing Effets'!$A$2:$D$101,3,FALSE)</f>
        <v>#REF!</v>
      </c>
      <c r="K11" s="14" t="str">
        <f>ABS(SQRT((C11-500)^2+(B11-500)^2)-Calculs!$C$6)</f>
        <v>#REF!</v>
      </c>
      <c r="L11" s="12" t="str">
        <f t="shared" si="5"/>
        <v>[temple]28[/temple]</v>
      </c>
      <c r="M11" s="13" t="str">
        <f>IF(ABS(SQRT((C11-500)^2+(B11-500)^2))&lt;Calculs!$C$7,"Inté",IF(K11&gt;Calculs!$C$8,"Exté",IF(AND(N11&lt;=0,O11&lt;=0),"Nord-Ouest",IF(AND(N11&lt;=0,O11&gt;=0),"Sud-Ouest",IF(AND(N11&gt;=0,O11&lt;=0),"Nord-Est",IF(AND(N11&gt;=0,O11&gt;=0),"Sud-Est","Probleme"))))))</f>
        <v>#REF!</v>
      </c>
      <c r="N11" s="11">
        <f t="shared" ref="N11:O11" si="15">B11-500</f>
        <v>-60</v>
      </c>
      <c r="O11" s="11">
        <f t="shared" si="15"/>
        <v>-117</v>
      </c>
      <c r="P11" s="12"/>
      <c r="Q11" s="12"/>
      <c r="R11" s="15"/>
      <c r="S11" s="15"/>
      <c r="T11" s="15"/>
      <c r="U11" s="15"/>
      <c r="V11" s="16"/>
      <c r="W11" s="16"/>
      <c r="X11" s="16"/>
      <c r="Y11" s="16"/>
      <c r="Z11" s="16"/>
    </row>
    <row r="12" ht="15.75" customHeight="1">
      <c r="A12" s="17">
        <v>53.0</v>
      </c>
      <c r="B12" s="18">
        <v>485.0</v>
      </c>
      <c r="C12" s="18">
        <v>339.0</v>
      </c>
      <c r="D12" s="18" t="s">
        <v>34</v>
      </c>
      <c r="E12" s="18">
        <v>43.0</v>
      </c>
      <c r="F12" s="18" t="s">
        <v>35</v>
      </c>
      <c r="G12" s="18" t="s">
        <v>36</v>
      </c>
      <c r="H12" s="19" t="s">
        <v>37</v>
      </c>
      <c r="I12" s="18" t="str">
        <f t="shared" ref="I12:I16" si="17">VLOOKUP(F12,'Listing Effets'!$A$2:$D$101,2,FALSE)</f>
        <v>#REF!</v>
      </c>
      <c r="J12" s="18" t="str">
        <f t="shared" ref="J12:J16" si="18">VLOOKUP(F12,'Listing Effets'!$A$2:$D$101,3,FALSE)</f>
        <v>#REF!</v>
      </c>
      <c r="K12" s="20" t="str">
        <f t="shared" ref="K12:K16" si="19">ABS(SQRT((C12-500)^2+(B12-500)^2)-Calculs!$C$6)</f>
        <v>#REF!</v>
      </c>
      <c r="L12" s="21" t="str">
        <f t="shared" si="5"/>
        <v>[temple]53[/temple]</v>
      </c>
      <c r="M12" s="18" t="str">
        <f t="shared" ref="M12:M16" si="20">IF(ABS(SQRT((C12-500)^2+(B12-500)^2))&lt;Calculs!$C$7,"Inté",IF(K12&gt;Calculs!$C$8,"Exté",IF(AND(N12&lt;=0,O12&lt;=0),"Nord-Ouest",IF(AND(N12&lt;=0,O12&gt;=0),"Sud-Ouest",IF(AND(N12&gt;=0,O12&lt;=0),"Nord-Est",IF(AND(N12&gt;=0,O12&gt;=0),"Sud-Est","Probleme"))))))</f>
        <v>#REF!</v>
      </c>
      <c r="N12" s="18">
        <f t="shared" ref="N12:O12" si="16">B12-500</f>
        <v>-15</v>
      </c>
      <c r="O12" s="18">
        <f t="shared" si="16"/>
        <v>-161</v>
      </c>
      <c r="P12" s="18"/>
      <c r="Q12" s="18"/>
      <c r="R12" s="18"/>
      <c r="S12" s="18"/>
      <c r="T12" s="18"/>
      <c r="U12" s="18"/>
    </row>
    <row r="13" ht="15.75" customHeight="1">
      <c r="A13" s="17">
        <v>70.0</v>
      </c>
      <c r="B13" s="18">
        <v>690.0</v>
      </c>
      <c r="C13" s="18">
        <v>486.0</v>
      </c>
      <c r="D13" s="18" t="s">
        <v>38</v>
      </c>
      <c r="E13" s="18">
        <v>64.0</v>
      </c>
      <c r="F13" s="18" t="s">
        <v>35</v>
      </c>
      <c r="G13" s="18" t="s">
        <v>36</v>
      </c>
      <c r="H13" s="19" t="s">
        <v>37</v>
      </c>
      <c r="I13" s="18" t="str">
        <f t="shared" si="17"/>
        <v>#REF!</v>
      </c>
      <c r="J13" s="18" t="str">
        <f t="shared" si="18"/>
        <v>#REF!</v>
      </c>
      <c r="K13" s="20" t="str">
        <f t="shared" si="19"/>
        <v>#REF!</v>
      </c>
      <c r="L13" s="21" t="str">
        <f t="shared" si="5"/>
        <v>[temple]70[/temple]</v>
      </c>
      <c r="M13" s="18" t="str">
        <f t="shared" si="20"/>
        <v>#REF!</v>
      </c>
      <c r="N13" s="18">
        <f t="shared" ref="N13:O13" si="21">B13-500</f>
        <v>190</v>
      </c>
      <c r="O13" s="18">
        <f t="shared" si="21"/>
        <v>-14</v>
      </c>
      <c r="P13" s="18"/>
      <c r="Q13" s="18"/>
      <c r="R13" s="18"/>
      <c r="S13" s="18"/>
      <c r="T13" s="18"/>
      <c r="U13" s="18"/>
    </row>
    <row r="14" ht="15.75" customHeight="1">
      <c r="A14" s="17">
        <v>109.0</v>
      </c>
      <c r="B14" s="18">
        <v>717.0</v>
      </c>
      <c r="C14" s="18">
        <v>576.0</v>
      </c>
      <c r="D14" s="18" t="s">
        <v>39</v>
      </c>
      <c r="E14" s="18">
        <v>75.0</v>
      </c>
      <c r="F14" s="18" t="s">
        <v>35</v>
      </c>
      <c r="G14" s="18" t="s">
        <v>36</v>
      </c>
      <c r="H14" s="19" t="s">
        <v>37</v>
      </c>
      <c r="I14" s="18" t="str">
        <f t="shared" si="17"/>
        <v>#REF!</v>
      </c>
      <c r="J14" s="18" t="str">
        <f t="shared" si="18"/>
        <v>#REF!</v>
      </c>
      <c r="K14" s="20" t="str">
        <f t="shared" si="19"/>
        <v>#REF!</v>
      </c>
      <c r="L14" s="21" t="str">
        <f t="shared" si="5"/>
        <v>[temple]109[/temple]</v>
      </c>
      <c r="M14" s="18" t="str">
        <f t="shared" si="20"/>
        <v>#REF!</v>
      </c>
      <c r="N14" s="18">
        <f t="shared" ref="N14:O14" si="22">B14-500</f>
        <v>217</v>
      </c>
      <c r="O14" s="18">
        <f t="shared" si="22"/>
        <v>76</v>
      </c>
      <c r="P14" s="18"/>
      <c r="Q14" s="18"/>
      <c r="R14" s="18"/>
      <c r="S14" s="18"/>
      <c r="T14" s="18"/>
      <c r="U14" s="18"/>
    </row>
    <row r="15" ht="15.75" customHeight="1">
      <c r="A15" s="17">
        <v>94.0</v>
      </c>
      <c r="B15" s="18">
        <v>658.0</v>
      </c>
      <c r="C15" s="18">
        <v>642.0</v>
      </c>
      <c r="D15" s="18" t="s">
        <v>40</v>
      </c>
      <c r="E15" s="18">
        <v>66.0</v>
      </c>
      <c r="F15" s="18" t="s">
        <v>41</v>
      </c>
      <c r="G15" s="18" t="s">
        <v>36</v>
      </c>
      <c r="H15" s="19" t="s">
        <v>42</v>
      </c>
      <c r="I15" s="18" t="str">
        <f t="shared" si="17"/>
        <v>#REF!</v>
      </c>
      <c r="J15" s="18" t="str">
        <f t="shared" si="18"/>
        <v>#REF!</v>
      </c>
      <c r="K15" s="20" t="str">
        <f t="shared" si="19"/>
        <v>#REF!</v>
      </c>
      <c r="L15" s="21" t="str">
        <f t="shared" si="5"/>
        <v>[temple]94[/temple]</v>
      </c>
      <c r="M15" s="18" t="str">
        <f t="shared" si="20"/>
        <v>#REF!</v>
      </c>
      <c r="N15" s="18">
        <f t="shared" ref="N15:O15" si="23">B15-500</f>
        <v>158</v>
      </c>
      <c r="O15" s="18">
        <f t="shared" si="23"/>
        <v>142</v>
      </c>
      <c r="P15" s="18"/>
      <c r="Q15" s="18"/>
      <c r="R15" s="18"/>
      <c r="S15" s="18"/>
      <c r="T15" s="18"/>
      <c r="U15" s="18"/>
    </row>
    <row r="16" ht="15.75" customHeight="1">
      <c r="A16" s="17">
        <v>138.0</v>
      </c>
      <c r="B16" s="18">
        <v>315.0</v>
      </c>
      <c r="C16" s="18">
        <v>327.0</v>
      </c>
      <c r="D16" s="18" t="s">
        <v>43</v>
      </c>
      <c r="E16" s="18">
        <v>33.0</v>
      </c>
      <c r="F16" s="18" t="s">
        <v>44</v>
      </c>
      <c r="G16" s="18" t="s">
        <v>36</v>
      </c>
      <c r="H16" s="19" t="s">
        <v>45</v>
      </c>
      <c r="I16" s="18" t="str">
        <f t="shared" si="17"/>
        <v>#REF!</v>
      </c>
      <c r="J16" s="18" t="str">
        <f t="shared" si="18"/>
        <v>#REF!</v>
      </c>
      <c r="K16" s="20" t="str">
        <f t="shared" si="19"/>
        <v>#REF!</v>
      </c>
      <c r="L16" s="21" t="str">
        <f t="shared" si="5"/>
        <v>[temple]138[/temple]</v>
      </c>
      <c r="M16" s="18" t="str">
        <f t="shared" si="20"/>
        <v>#REF!</v>
      </c>
      <c r="N16" s="18">
        <f t="shared" ref="N16:O16" si="24">B16-500</f>
        <v>-185</v>
      </c>
      <c r="O16" s="18">
        <f t="shared" si="24"/>
        <v>-173</v>
      </c>
      <c r="P16" s="18"/>
      <c r="Q16" s="18"/>
      <c r="R16" s="18"/>
      <c r="S16" s="18"/>
      <c r="T16" s="18"/>
      <c r="U16" s="18"/>
    </row>
    <row r="17" ht="15.75" customHeight="1">
      <c r="A17" s="22">
        <v>87.0</v>
      </c>
      <c r="B17" s="23">
        <v>708.0</v>
      </c>
      <c r="C17" s="23">
        <v>521.0</v>
      </c>
      <c r="D17" s="24" t="s">
        <v>46</v>
      </c>
      <c r="E17" s="23">
        <v>75.0</v>
      </c>
      <c r="F17" s="24" t="s">
        <v>41</v>
      </c>
      <c r="G17" s="18" t="s">
        <v>36</v>
      </c>
      <c r="H17" s="19" t="s">
        <v>42</v>
      </c>
      <c r="I17" s="25" t="str">
        <f>VLOOKUP(F17,'Listing Effets'!$A$2:$D$101,2,FALSE)</f>
        <v>#REF!</v>
      </c>
      <c r="J17" s="25" t="str">
        <f>VLOOKUP(F17,'Listing Effets'!$A$2:$D$101,3,FALSE)</f>
        <v>#REF!</v>
      </c>
      <c r="K17" s="26" t="str">
        <f>ABS(SQRT((C17-500)^2+(B17-500)^2)-Calculs!$C$6)</f>
        <v>#REF!</v>
      </c>
      <c r="L17" s="24" t="str">
        <f t="shared" si="5"/>
        <v>[temple]87[/temple]</v>
      </c>
      <c r="M17" s="25" t="str">
        <f>IF(ABS(SQRT((C17-500)^2+(B17-500)^2))&lt;Calculs!$C$7,"Inté",IF(K17&gt;Calculs!$C$8,"Exté",IF(AND(N17&lt;=0,O17&lt;=0),"Nord-Ouest",IF(AND(N17&lt;=0,O17&gt;=0),"Sud-Ouest",IF(AND(N17&gt;=0,O17&lt;=0),"Nord-Est",IF(AND(N17&gt;=0,O17&gt;=0),"Sud-Est","Probleme"))))))</f>
        <v>#REF!</v>
      </c>
      <c r="N17" s="23">
        <f t="shared" ref="N17:O17" si="25">B17-500</f>
        <v>208</v>
      </c>
      <c r="O17" s="23">
        <f t="shared" si="25"/>
        <v>21</v>
      </c>
      <c r="P17" s="24"/>
      <c r="Q17" s="24"/>
      <c r="R17" s="15"/>
      <c r="S17" s="15"/>
      <c r="T17" s="15"/>
      <c r="U17" s="15"/>
      <c r="V17" s="16"/>
      <c r="W17" s="16"/>
      <c r="X17" s="16"/>
      <c r="Y17" s="16"/>
      <c r="Z17" s="16"/>
    </row>
    <row r="18" ht="15.75" customHeight="1">
      <c r="A18" s="17">
        <v>144.0</v>
      </c>
      <c r="B18" s="18">
        <v>331.0</v>
      </c>
      <c r="C18" s="18">
        <v>712.0</v>
      </c>
      <c r="D18" s="18" t="s">
        <v>47</v>
      </c>
      <c r="E18" s="18">
        <v>37.0</v>
      </c>
      <c r="F18" s="18" t="s">
        <v>48</v>
      </c>
      <c r="G18" s="18" t="s">
        <v>36</v>
      </c>
      <c r="H18" s="19" t="s">
        <v>49</v>
      </c>
      <c r="I18" s="18" t="str">
        <f t="shared" ref="I18:I28" si="27">VLOOKUP(F18,'Listing Effets'!$A$2:$D$101,2,FALSE)</f>
        <v>#REF!</v>
      </c>
      <c r="J18" s="18" t="str">
        <f t="shared" ref="J18:J28" si="28">VLOOKUP(F18,'Listing Effets'!$A$2:$D$101,3,FALSE)</f>
        <v>#REF!</v>
      </c>
      <c r="K18" s="20" t="str">
        <f t="shared" ref="K18:K28" si="29">ABS(SQRT((C18-500)^2+(B18-500)^2)-Calculs!$C$6)</f>
        <v>#REF!</v>
      </c>
      <c r="L18" s="21" t="str">
        <f t="shared" si="5"/>
        <v>[temple]144[/temple]</v>
      </c>
      <c r="M18" s="18" t="str">
        <f t="shared" ref="M18:M28" si="30">IF(ABS(SQRT((C18-500)^2+(B18-500)^2))&lt;Calculs!$C$7,"Inté",IF(K18&gt;Calculs!$C$8,"Exté",IF(AND(N18&lt;=0,O18&lt;=0),"Nord-Ouest",IF(AND(N18&lt;=0,O18&gt;=0),"Sud-Ouest",IF(AND(N18&gt;=0,O18&lt;=0),"Nord-Est",IF(AND(N18&gt;=0,O18&gt;=0),"Sud-Est","Probleme"))))))</f>
        <v>#REF!</v>
      </c>
      <c r="N18" s="18">
        <f t="shared" ref="N18:O18" si="26">B18-500</f>
        <v>-169</v>
      </c>
      <c r="O18" s="18">
        <f t="shared" si="26"/>
        <v>212</v>
      </c>
      <c r="P18" s="18"/>
      <c r="Q18" s="18"/>
      <c r="R18" s="18"/>
      <c r="S18" s="18"/>
      <c r="T18" s="18"/>
      <c r="U18" s="18"/>
    </row>
    <row r="19" ht="15.75" customHeight="1">
      <c r="A19" s="17">
        <v>35.0</v>
      </c>
      <c r="B19" s="18">
        <v>617.0</v>
      </c>
      <c r="C19" s="18">
        <v>459.0</v>
      </c>
      <c r="D19" s="18" t="s">
        <v>50</v>
      </c>
      <c r="E19" s="18">
        <v>64.0</v>
      </c>
      <c r="F19" s="18" t="s">
        <v>48</v>
      </c>
      <c r="G19" s="18" t="s">
        <v>36</v>
      </c>
      <c r="H19" s="19" t="s">
        <v>49</v>
      </c>
      <c r="I19" s="18" t="str">
        <f t="shared" si="27"/>
        <v>#REF!</v>
      </c>
      <c r="J19" s="18" t="str">
        <f t="shared" si="28"/>
        <v>#REF!</v>
      </c>
      <c r="K19" s="20" t="str">
        <f t="shared" si="29"/>
        <v>#REF!</v>
      </c>
      <c r="L19" s="21" t="str">
        <f t="shared" si="5"/>
        <v>[temple]35[/temple]</v>
      </c>
      <c r="M19" s="18" t="str">
        <f t="shared" si="30"/>
        <v>#REF!</v>
      </c>
      <c r="N19" s="18">
        <f t="shared" ref="N19:O19" si="31">B19-500</f>
        <v>117</v>
      </c>
      <c r="O19" s="18">
        <f t="shared" si="31"/>
        <v>-41</v>
      </c>
      <c r="P19" s="18"/>
      <c r="Q19" s="18"/>
      <c r="R19" s="18"/>
      <c r="S19" s="18"/>
      <c r="T19" s="18"/>
      <c r="U19" s="18"/>
    </row>
    <row r="20" ht="15.75" customHeight="1">
      <c r="A20" s="17">
        <v>76.0</v>
      </c>
      <c r="B20" s="18">
        <v>690.0</v>
      </c>
      <c r="C20" s="18">
        <v>564.0</v>
      </c>
      <c r="D20" s="18" t="s">
        <v>51</v>
      </c>
      <c r="E20" s="18">
        <v>65.0</v>
      </c>
      <c r="F20" s="18" t="s">
        <v>48</v>
      </c>
      <c r="G20" s="18" t="s">
        <v>36</v>
      </c>
      <c r="H20" s="19" t="s">
        <v>49</v>
      </c>
      <c r="I20" s="18" t="str">
        <f t="shared" si="27"/>
        <v>#REF!</v>
      </c>
      <c r="J20" s="18" t="str">
        <f t="shared" si="28"/>
        <v>#REF!</v>
      </c>
      <c r="K20" s="20" t="str">
        <f t="shared" si="29"/>
        <v>#REF!</v>
      </c>
      <c r="L20" s="21" t="str">
        <f t="shared" si="5"/>
        <v>[temple]76[/temple]</v>
      </c>
      <c r="M20" s="18" t="str">
        <f t="shared" si="30"/>
        <v>#REF!</v>
      </c>
      <c r="N20" s="18">
        <f t="shared" ref="N20:O20" si="32">B20-500</f>
        <v>190</v>
      </c>
      <c r="O20" s="18">
        <f t="shared" si="32"/>
        <v>64</v>
      </c>
      <c r="P20" s="18"/>
      <c r="Q20" s="18"/>
      <c r="R20" s="18"/>
      <c r="S20" s="18"/>
      <c r="T20" s="18"/>
      <c r="U20" s="18"/>
    </row>
    <row r="21" ht="15.75" customHeight="1">
      <c r="A21" s="17">
        <v>82.0</v>
      </c>
      <c r="B21" s="18">
        <v>563.0</v>
      </c>
      <c r="C21" s="18">
        <v>684.0</v>
      </c>
      <c r="D21" s="17" t="s">
        <v>52</v>
      </c>
      <c r="E21" s="18">
        <v>56.0</v>
      </c>
      <c r="F21" s="18" t="s">
        <v>53</v>
      </c>
      <c r="G21" s="18" t="s">
        <v>36</v>
      </c>
      <c r="H21" s="19" t="s">
        <v>54</v>
      </c>
      <c r="I21" s="18" t="str">
        <f t="shared" si="27"/>
        <v>#REF!</v>
      </c>
      <c r="J21" s="18" t="str">
        <f t="shared" si="28"/>
        <v>#REF!</v>
      </c>
      <c r="K21" s="20" t="str">
        <f t="shared" si="29"/>
        <v>#REF!</v>
      </c>
      <c r="L21" s="21" t="str">
        <f t="shared" si="5"/>
        <v>[temple]82[/temple]</v>
      </c>
      <c r="M21" s="18" t="str">
        <f t="shared" si="30"/>
        <v>#REF!</v>
      </c>
      <c r="N21" s="18">
        <f t="shared" ref="N21:O21" si="33">B21-500</f>
        <v>63</v>
      </c>
      <c r="O21" s="18">
        <f t="shared" si="33"/>
        <v>184</v>
      </c>
      <c r="P21" s="18"/>
      <c r="Q21" s="18"/>
      <c r="R21" s="18"/>
      <c r="S21" s="18"/>
      <c r="T21" s="18"/>
      <c r="U21" s="18"/>
    </row>
    <row r="22" ht="15.75" customHeight="1">
      <c r="A22" s="27">
        <v>115.0</v>
      </c>
      <c r="B22" s="28">
        <v>423.0</v>
      </c>
      <c r="C22" s="28">
        <v>285.0</v>
      </c>
      <c r="D22" s="28" t="s">
        <v>55</v>
      </c>
      <c r="E22" s="28">
        <v>42.0</v>
      </c>
      <c r="F22" s="28" t="s">
        <v>56</v>
      </c>
      <c r="G22" s="28" t="s">
        <v>57</v>
      </c>
      <c r="H22" s="29" t="s">
        <v>58</v>
      </c>
      <c r="I22" s="28" t="str">
        <f t="shared" si="27"/>
        <v>#REF!</v>
      </c>
      <c r="J22" s="28" t="str">
        <f t="shared" si="28"/>
        <v>#REF!</v>
      </c>
      <c r="K22" s="30" t="str">
        <f t="shared" si="29"/>
        <v>#REF!</v>
      </c>
      <c r="L22" s="31" t="str">
        <f t="shared" si="5"/>
        <v>[temple]115[/temple]</v>
      </c>
      <c r="M22" s="28" t="str">
        <f t="shared" si="30"/>
        <v>#REF!</v>
      </c>
      <c r="N22" s="28">
        <f t="shared" ref="N22:O22" si="34">B22-500</f>
        <v>-77</v>
      </c>
      <c r="O22" s="28">
        <f t="shared" si="34"/>
        <v>-215</v>
      </c>
      <c r="P22" s="28"/>
      <c r="Q22" s="28"/>
      <c r="R22" s="28"/>
      <c r="S22" s="28"/>
      <c r="T22" s="28"/>
      <c r="U22" s="28"/>
    </row>
    <row r="23" ht="15.75" customHeight="1">
      <c r="A23" s="27">
        <v>25.0</v>
      </c>
      <c r="B23" s="28">
        <v>480.0</v>
      </c>
      <c r="C23" s="28">
        <v>599.0</v>
      </c>
      <c r="D23" s="28" t="s">
        <v>59</v>
      </c>
      <c r="E23" s="28">
        <v>45.0</v>
      </c>
      <c r="F23" s="28" t="s">
        <v>56</v>
      </c>
      <c r="G23" s="28" t="s">
        <v>57</v>
      </c>
      <c r="H23" s="29" t="s">
        <v>58</v>
      </c>
      <c r="I23" s="28" t="str">
        <f t="shared" si="27"/>
        <v>#REF!</v>
      </c>
      <c r="J23" s="28" t="str">
        <f t="shared" si="28"/>
        <v>#REF!</v>
      </c>
      <c r="K23" s="30" t="str">
        <f t="shared" si="29"/>
        <v>#REF!</v>
      </c>
      <c r="L23" s="31" t="str">
        <f t="shared" si="5"/>
        <v>[temple]25[/temple]</v>
      </c>
      <c r="M23" s="28" t="str">
        <f t="shared" si="30"/>
        <v>#REF!</v>
      </c>
      <c r="N23" s="28">
        <f t="shared" ref="N23:O23" si="35">B23-500</f>
        <v>-20</v>
      </c>
      <c r="O23" s="28">
        <f t="shared" si="35"/>
        <v>99</v>
      </c>
      <c r="P23" s="28"/>
      <c r="Q23" s="28"/>
      <c r="R23" s="28"/>
      <c r="S23" s="28"/>
      <c r="T23" s="28"/>
      <c r="U23" s="28"/>
    </row>
    <row r="24" ht="15.75" customHeight="1">
      <c r="A24" s="27">
        <v>97.0</v>
      </c>
      <c r="B24" s="28">
        <v>629.0</v>
      </c>
      <c r="C24" s="28">
        <v>327.0</v>
      </c>
      <c r="D24" s="28" t="s">
        <v>60</v>
      </c>
      <c r="E24" s="28">
        <v>63.0</v>
      </c>
      <c r="F24" s="28" t="s">
        <v>56</v>
      </c>
      <c r="G24" s="28" t="s">
        <v>57</v>
      </c>
      <c r="H24" s="29" t="s">
        <v>58</v>
      </c>
      <c r="I24" s="28" t="str">
        <f t="shared" si="27"/>
        <v>#REF!</v>
      </c>
      <c r="J24" s="28" t="str">
        <f t="shared" si="28"/>
        <v>#REF!</v>
      </c>
      <c r="K24" s="30" t="str">
        <f t="shared" si="29"/>
        <v>#REF!</v>
      </c>
      <c r="L24" s="31" t="str">
        <f t="shared" si="5"/>
        <v>[temple]97[/temple]</v>
      </c>
      <c r="M24" s="28" t="str">
        <f t="shared" si="30"/>
        <v>#REF!</v>
      </c>
      <c r="N24" s="28">
        <f t="shared" ref="N24:O24" si="36">B24-500</f>
        <v>129</v>
      </c>
      <c r="O24" s="28">
        <f t="shared" si="36"/>
        <v>-173</v>
      </c>
      <c r="P24" s="28"/>
      <c r="Q24" s="28"/>
      <c r="R24" s="28"/>
      <c r="S24" s="28"/>
      <c r="T24" s="28"/>
      <c r="U24" s="28"/>
    </row>
    <row r="25" ht="15.75" customHeight="1">
      <c r="A25" s="27">
        <v>58.0</v>
      </c>
      <c r="B25" s="28">
        <v>346.0</v>
      </c>
      <c r="C25" s="28">
        <v>431.0</v>
      </c>
      <c r="D25" s="28" t="s">
        <v>61</v>
      </c>
      <c r="E25" s="28">
        <v>34.0</v>
      </c>
      <c r="F25" s="28" t="s">
        <v>62</v>
      </c>
      <c r="G25" s="28" t="s">
        <v>57</v>
      </c>
      <c r="H25" s="29" t="s">
        <v>63</v>
      </c>
      <c r="I25" s="28" t="str">
        <f t="shared" si="27"/>
        <v>#REF!</v>
      </c>
      <c r="J25" s="28" t="str">
        <f t="shared" si="28"/>
        <v>#REF!</v>
      </c>
      <c r="K25" s="30" t="str">
        <f t="shared" si="29"/>
        <v>#REF!</v>
      </c>
      <c r="L25" s="31" t="str">
        <f t="shared" si="5"/>
        <v>[temple]58[/temple]</v>
      </c>
      <c r="M25" s="28" t="str">
        <f t="shared" si="30"/>
        <v>#REF!</v>
      </c>
      <c r="N25" s="28">
        <f t="shared" ref="N25:O25" si="37">B25-500</f>
        <v>-154</v>
      </c>
      <c r="O25" s="28">
        <f t="shared" si="37"/>
        <v>-69</v>
      </c>
      <c r="P25" s="28"/>
      <c r="Q25" s="28"/>
      <c r="R25" s="28"/>
      <c r="S25" s="28"/>
      <c r="T25" s="28"/>
      <c r="U25" s="28"/>
      <c r="V25" s="16"/>
      <c r="W25" s="16"/>
      <c r="X25" s="16"/>
      <c r="Y25" s="16"/>
      <c r="Z25" s="16"/>
    </row>
    <row r="26" ht="15.75" customHeight="1">
      <c r="A26" s="27">
        <v>47.0</v>
      </c>
      <c r="B26" s="28">
        <v>625.0</v>
      </c>
      <c r="C26" s="28">
        <v>582.0</v>
      </c>
      <c r="D26" s="28" t="s">
        <v>64</v>
      </c>
      <c r="E26" s="28">
        <v>65.0</v>
      </c>
      <c r="F26" s="28" t="s">
        <v>62</v>
      </c>
      <c r="G26" s="28" t="s">
        <v>57</v>
      </c>
      <c r="H26" s="29" t="s">
        <v>63</v>
      </c>
      <c r="I26" s="28" t="str">
        <f t="shared" si="27"/>
        <v>#REF!</v>
      </c>
      <c r="J26" s="28" t="str">
        <f t="shared" si="28"/>
        <v>#REF!</v>
      </c>
      <c r="K26" s="30" t="str">
        <f t="shared" si="29"/>
        <v>#REF!</v>
      </c>
      <c r="L26" s="31" t="str">
        <f t="shared" si="5"/>
        <v>[temple]47[/temple]</v>
      </c>
      <c r="M26" s="28" t="str">
        <f t="shared" si="30"/>
        <v>#REF!</v>
      </c>
      <c r="N26" s="28">
        <f t="shared" ref="N26:O26" si="38">B26-500</f>
        <v>125</v>
      </c>
      <c r="O26" s="28">
        <f t="shared" si="38"/>
        <v>82</v>
      </c>
      <c r="P26" s="28"/>
      <c r="Q26" s="28"/>
      <c r="R26" s="28"/>
      <c r="S26" s="28"/>
      <c r="T26" s="28"/>
      <c r="U26" s="28"/>
    </row>
    <row r="27" ht="15.75" customHeight="1">
      <c r="A27" s="27">
        <v>27.0</v>
      </c>
      <c r="B27" s="28">
        <v>586.0</v>
      </c>
      <c r="C27" s="28">
        <v>598.0</v>
      </c>
      <c r="D27" s="28" t="s">
        <v>65</v>
      </c>
      <c r="E27" s="28">
        <v>55.0</v>
      </c>
      <c r="F27" s="28" t="s">
        <v>66</v>
      </c>
      <c r="G27" s="28" t="s">
        <v>57</v>
      </c>
      <c r="H27" s="29" t="s">
        <v>67</v>
      </c>
      <c r="I27" s="28" t="str">
        <f t="shared" si="27"/>
        <v>#REF!</v>
      </c>
      <c r="J27" s="28" t="str">
        <f t="shared" si="28"/>
        <v>#REF!</v>
      </c>
      <c r="K27" s="30" t="str">
        <f t="shared" si="29"/>
        <v>#REF!</v>
      </c>
      <c r="L27" s="31" t="str">
        <f t="shared" si="5"/>
        <v>[temple]27[/temple]</v>
      </c>
      <c r="M27" s="28" t="str">
        <f t="shared" si="30"/>
        <v>#REF!</v>
      </c>
      <c r="N27" s="28">
        <f t="shared" ref="N27:O27" si="39">B27-500</f>
        <v>86</v>
      </c>
      <c r="O27" s="28">
        <f t="shared" si="39"/>
        <v>98</v>
      </c>
      <c r="P27" s="28"/>
      <c r="Q27" s="28"/>
      <c r="R27" s="28"/>
      <c r="S27" s="28"/>
      <c r="T27" s="28"/>
      <c r="U27" s="28"/>
    </row>
    <row r="28" ht="15.75" customHeight="1">
      <c r="A28" s="27">
        <v>43.0</v>
      </c>
      <c r="B28" s="28">
        <v>562.0</v>
      </c>
      <c r="C28" s="28">
        <v>642.0</v>
      </c>
      <c r="D28" s="28" t="s">
        <v>68</v>
      </c>
      <c r="E28" s="28">
        <v>56.0</v>
      </c>
      <c r="F28" s="28" t="s">
        <v>66</v>
      </c>
      <c r="G28" s="28" t="s">
        <v>57</v>
      </c>
      <c r="H28" s="29" t="s">
        <v>67</v>
      </c>
      <c r="I28" s="28" t="str">
        <f t="shared" si="27"/>
        <v>#REF!</v>
      </c>
      <c r="J28" s="28" t="str">
        <f t="shared" si="28"/>
        <v>#REF!</v>
      </c>
      <c r="K28" s="30" t="str">
        <f t="shared" si="29"/>
        <v>#REF!</v>
      </c>
      <c r="L28" s="31" t="str">
        <f t="shared" si="5"/>
        <v>[temple]43[/temple]</v>
      </c>
      <c r="M28" s="28" t="str">
        <f t="shared" si="30"/>
        <v>#REF!</v>
      </c>
      <c r="N28" s="28">
        <f t="shared" ref="N28:O28" si="40">B28-500</f>
        <v>62</v>
      </c>
      <c r="O28" s="28">
        <f t="shared" si="40"/>
        <v>142</v>
      </c>
      <c r="P28" s="28"/>
      <c r="Q28" s="28"/>
      <c r="R28" s="28"/>
      <c r="S28" s="28"/>
      <c r="T28" s="28"/>
      <c r="U28" s="28"/>
    </row>
    <row r="29" ht="19.5" customHeight="1">
      <c r="A29" s="32">
        <v>132.0</v>
      </c>
      <c r="B29" s="33">
        <v>749.0</v>
      </c>
      <c r="C29" s="33">
        <v>555.0</v>
      </c>
      <c r="D29" s="34" t="s">
        <v>69</v>
      </c>
      <c r="E29" s="33">
        <v>75.0</v>
      </c>
      <c r="F29" s="34" t="s">
        <v>41</v>
      </c>
      <c r="G29" s="28" t="s">
        <v>57</v>
      </c>
      <c r="H29" s="29" t="s">
        <v>42</v>
      </c>
      <c r="I29" s="35" t="str">
        <f>VLOOKUP(F29,'Listing Effets'!$A$2:$D$101,2,FALSE)</f>
        <v>#REF!</v>
      </c>
      <c r="J29" s="35" t="str">
        <f>VLOOKUP(F29,'Listing Effets'!$A$2:$D$101,3,FALSE)</f>
        <v>#REF!</v>
      </c>
      <c r="K29" s="36" t="str">
        <f>ABS(SQRT((C29-500)^2+(B29-500)^2)-Calculs!$C$6)</f>
        <v>#REF!</v>
      </c>
      <c r="L29" s="34" t="str">
        <f t="shared" si="5"/>
        <v>[temple]132[/temple]</v>
      </c>
      <c r="M29" s="35" t="str">
        <f>IF(ABS(SQRT((C29-500)^2+(B29-500)^2))&lt;Calculs!$C$7,"Inté",IF(K29&gt;Calculs!$C$8,"Exté",IF(AND(N29&lt;=0,O29&lt;=0),"Nord-Ouest",IF(AND(N29&lt;=0,O29&gt;=0),"Sud-Ouest",IF(AND(N29&gt;=0,O29&lt;=0),"Nord-Est",IF(AND(N29&gt;=0,O29&gt;=0),"Sud-Est","Probleme"))))))</f>
        <v>#REF!</v>
      </c>
      <c r="N29" s="33">
        <f t="shared" ref="N29:O29" si="41">B29-500</f>
        <v>249</v>
      </c>
      <c r="O29" s="33">
        <f t="shared" si="41"/>
        <v>55</v>
      </c>
      <c r="P29" s="34"/>
      <c r="Q29" s="34"/>
      <c r="R29" s="15"/>
      <c r="S29" s="15"/>
      <c r="T29" s="15"/>
      <c r="U29" s="15"/>
    </row>
    <row r="30" ht="19.5" customHeight="1">
      <c r="A30" s="27">
        <v>69.0</v>
      </c>
      <c r="B30" s="28">
        <v>440.0</v>
      </c>
      <c r="C30" s="28">
        <v>315.0</v>
      </c>
      <c r="D30" s="28" t="s">
        <v>70</v>
      </c>
      <c r="E30" s="28">
        <v>43.0</v>
      </c>
      <c r="F30" s="28" t="s">
        <v>71</v>
      </c>
      <c r="G30" s="28" t="s">
        <v>57</v>
      </c>
      <c r="H30" s="29" t="s">
        <v>72</v>
      </c>
      <c r="I30" s="28" t="str">
        <f>VLOOKUP(F30,'Listing Effets'!$A$2:$D$101,2,FALSE)</f>
        <v>#REF!</v>
      </c>
      <c r="J30" s="28" t="str">
        <f>VLOOKUP(F30,'Listing Effets'!$A$2:$D$101,3,FALSE)</f>
        <v>#REF!</v>
      </c>
      <c r="K30" s="30" t="str">
        <f>ABS(SQRT((C30-500)^2+(B30-500)^2)-Calculs!$C$6)</f>
        <v>#REF!</v>
      </c>
      <c r="L30" s="31" t="str">
        <f t="shared" si="5"/>
        <v>[temple]69[/temple]</v>
      </c>
      <c r="M30" s="28" t="str">
        <f>IF(ABS(SQRT((C30-500)^2+(B30-500)^2))&lt;Calculs!$C$7,"Inté",IF(K30&gt;Calculs!$C$8,"Exté",IF(AND(N30&lt;=0,O30&lt;=0),"Nord-Ouest",IF(AND(N30&lt;=0,O30&gt;=0),"Sud-Ouest",IF(AND(N30&gt;=0,O30&lt;=0),"Nord-Est",IF(AND(N30&gt;=0,O30&gt;=0),"Sud-Est","Probleme"))))))</f>
        <v>#REF!</v>
      </c>
      <c r="N30" s="28">
        <f t="shared" ref="N30:O30" si="42">B30-500</f>
        <v>-60</v>
      </c>
      <c r="O30" s="28">
        <f t="shared" si="42"/>
        <v>-185</v>
      </c>
      <c r="P30" s="28"/>
      <c r="Q30" s="28"/>
      <c r="R30" s="28"/>
      <c r="S30" s="28"/>
      <c r="T30" s="28"/>
      <c r="U30" s="28"/>
      <c r="V30" s="16"/>
      <c r="W30" s="16"/>
      <c r="X30" s="16"/>
      <c r="Y30" s="16"/>
      <c r="Z30" s="16"/>
    </row>
    <row r="31" ht="15.75" customHeight="1">
      <c r="A31" s="32">
        <v>107.0</v>
      </c>
      <c r="B31" s="33">
        <v>555.0</v>
      </c>
      <c r="C31" s="33">
        <v>734.0</v>
      </c>
      <c r="D31" s="34" t="s">
        <v>73</v>
      </c>
      <c r="E31" s="33">
        <v>57.0</v>
      </c>
      <c r="F31" s="34" t="s">
        <v>41</v>
      </c>
      <c r="G31" s="28" t="s">
        <v>57</v>
      </c>
      <c r="H31" s="29" t="s">
        <v>42</v>
      </c>
      <c r="I31" s="35" t="str">
        <f>VLOOKUP(F31,'Listing Effets'!$A$2:$D$101,2,FALSE)</f>
        <v>#REF!</v>
      </c>
      <c r="J31" s="35" t="str">
        <f>VLOOKUP(F31,'Listing Effets'!$A$2:$D$101,3,FALSE)</f>
        <v>#REF!</v>
      </c>
      <c r="K31" s="36" t="str">
        <f>ABS(SQRT((C31-500)^2+(B31-500)^2)-Calculs!$C$6)</f>
        <v>#REF!</v>
      </c>
      <c r="L31" s="34" t="str">
        <f t="shared" si="5"/>
        <v>[temple]107[/temple]</v>
      </c>
      <c r="M31" s="35" t="str">
        <f>IF(ABS(SQRT((C31-500)^2+(B31-500)^2))&lt;Calculs!$C$7,"Inté",IF(K31&gt;Calculs!$C$8,"Exté",IF(AND(N31&lt;=0,O31&lt;=0),"Nord-Ouest",IF(AND(N31&lt;=0,O31&gt;=0),"Sud-Ouest",IF(AND(N31&gt;=0,O31&lt;=0),"Nord-Est",IF(AND(N31&gt;=0,O31&gt;=0),"Sud-Est","Probleme"))))))</f>
        <v>#REF!</v>
      </c>
      <c r="N31" s="33">
        <f t="shared" ref="N31:O31" si="43">B31-500</f>
        <v>55</v>
      </c>
      <c r="O31" s="33">
        <f t="shared" si="43"/>
        <v>234</v>
      </c>
      <c r="P31" s="34"/>
      <c r="Q31" s="34"/>
      <c r="R31" s="15"/>
      <c r="S31" s="15"/>
      <c r="T31" s="15"/>
      <c r="U31" s="15"/>
    </row>
    <row r="32" ht="15.75" customHeight="1">
      <c r="A32" s="37">
        <v>85.0</v>
      </c>
      <c r="B32" s="38">
        <v>355.0</v>
      </c>
      <c r="C32" s="38">
        <v>335.0</v>
      </c>
      <c r="D32" s="38" t="s">
        <v>74</v>
      </c>
      <c r="E32" s="38">
        <v>33.0</v>
      </c>
      <c r="F32" s="38" t="s">
        <v>75</v>
      </c>
      <c r="G32" s="38" t="s">
        <v>76</v>
      </c>
      <c r="H32" s="39" t="s">
        <v>76</v>
      </c>
      <c r="I32" s="38" t="str">
        <f t="shared" ref="I32:I39" si="45">VLOOKUP(F32,'Listing Effets'!$A$2:$D$101,2,FALSE)</f>
        <v>#REF!</v>
      </c>
      <c r="J32" s="38" t="str">
        <f t="shared" ref="J32:J39" si="46">VLOOKUP(F32,'Listing Effets'!$A$2:$D$101,3,FALSE)</f>
        <v>#REF!</v>
      </c>
      <c r="K32" s="40" t="str">
        <f t="shared" ref="K32:K39" si="47">ABS(SQRT((C32-500)^2+(B32-500)^2)-Calculs!$C$6)</f>
        <v>#REF!</v>
      </c>
      <c r="L32" s="41" t="str">
        <f t="shared" si="5"/>
        <v>[temple]85[/temple]</v>
      </c>
      <c r="M32" s="38" t="str">
        <f t="shared" ref="M32:M39" si="48">IF(ABS(SQRT((C32-500)^2+(B32-500)^2))&lt;Calculs!$C$7,"Inté",IF(K32&gt;Calculs!$C$8,"Exté",IF(AND(N32&lt;=0,O32&lt;=0),"Nord-Ouest",IF(AND(N32&lt;=0,O32&gt;=0),"Sud-Ouest",IF(AND(N32&gt;=0,O32&lt;=0),"Nord-Est",IF(AND(N32&gt;=0,O32&gt;=0),"Sud-Est","Probleme"))))))</f>
        <v>#REF!</v>
      </c>
      <c r="N32" s="38">
        <f t="shared" ref="N32:O32" si="44">B32-500</f>
        <v>-145</v>
      </c>
      <c r="O32" s="38">
        <f t="shared" si="44"/>
        <v>-165</v>
      </c>
      <c r="P32" s="38"/>
      <c r="Q32" s="38"/>
      <c r="R32" s="38"/>
      <c r="S32" s="38"/>
      <c r="T32" s="38"/>
      <c r="U32" s="38"/>
    </row>
    <row r="33" ht="15.75" customHeight="1">
      <c r="A33" s="37">
        <v>50.0</v>
      </c>
      <c r="B33" s="38">
        <v>461.0</v>
      </c>
      <c r="C33" s="38">
        <v>639.0</v>
      </c>
      <c r="D33" s="38" t="s">
        <v>77</v>
      </c>
      <c r="E33" s="38">
        <v>46.0</v>
      </c>
      <c r="F33" s="38" t="s">
        <v>75</v>
      </c>
      <c r="G33" s="38" t="s">
        <v>76</v>
      </c>
      <c r="H33" s="39" t="s">
        <v>76</v>
      </c>
      <c r="I33" s="38" t="str">
        <f t="shared" si="45"/>
        <v>#REF!</v>
      </c>
      <c r="J33" s="38" t="str">
        <f t="shared" si="46"/>
        <v>#REF!</v>
      </c>
      <c r="K33" s="40" t="str">
        <f t="shared" si="47"/>
        <v>#REF!</v>
      </c>
      <c r="L33" s="41" t="str">
        <f t="shared" si="5"/>
        <v>[temple]50[/temple]</v>
      </c>
      <c r="M33" s="38" t="str">
        <f t="shared" si="48"/>
        <v>#REF!</v>
      </c>
      <c r="N33" s="38">
        <f t="shared" ref="N33:O33" si="49">B33-500</f>
        <v>-39</v>
      </c>
      <c r="O33" s="38">
        <f t="shared" si="49"/>
        <v>139</v>
      </c>
      <c r="P33" s="38"/>
      <c r="Q33" s="38"/>
      <c r="R33" s="38"/>
      <c r="S33" s="38"/>
      <c r="T33" s="38"/>
      <c r="U33" s="38"/>
    </row>
    <row r="34" ht="15.75" customHeight="1">
      <c r="A34" s="37">
        <v>3.0</v>
      </c>
      <c r="B34" s="38">
        <v>513.0</v>
      </c>
      <c r="C34" s="38">
        <v>534.0</v>
      </c>
      <c r="D34" s="38" t="s">
        <v>78</v>
      </c>
      <c r="E34" s="38">
        <v>55.0</v>
      </c>
      <c r="F34" s="38" t="s">
        <v>75</v>
      </c>
      <c r="G34" s="38" t="s">
        <v>76</v>
      </c>
      <c r="H34" s="39" t="s">
        <v>76</v>
      </c>
      <c r="I34" s="38" t="str">
        <f t="shared" si="45"/>
        <v>#REF!</v>
      </c>
      <c r="J34" s="38" t="str">
        <f t="shared" si="46"/>
        <v>#REF!</v>
      </c>
      <c r="K34" s="40" t="str">
        <f t="shared" si="47"/>
        <v>#REF!</v>
      </c>
      <c r="L34" s="41" t="str">
        <f t="shared" si="5"/>
        <v>[temple]3[/temple]</v>
      </c>
      <c r="M34" s="38" t="str">
        <f t="shared" si="48"/>
        <v>#REF!</v>
      </c>
      <c r="N34" s="38">
        <f t="shared" ref="N34:O34" si="50">B34-500</f>
        <v>13</v>
      </c>
      <c r="O34" s="38">
        <f t="shared" si="50"/>
        <v>34</v>
      </c>
      <c r="P34" s="38"/>
      <c r="Q34" s="38"/>
      <c r="R34" s="38"/>
      <c r="S34" s="38"/>
      <c r="T34" s="38"/>
      <c r="U34" s="38"/>
    </row>
    <row r="35" ht="15.75" customHeight="1">
      <c r="A35" s="37">
        <v>64.0</v>
      </c>
      <c r="B35" s="38">
        <v>538.0</v>
      </c>
      <c r="C35" s="38">
        <v>677.0</v>
      </c>
      <c r="D35" s="38" t="s">
        <v>79</v>
      </c>
      <c r="E35" s="38">
        <v>56.0</v>
      </c>
      <c r="F35" s="38" t="s">
        <v>75</v>
      </c>
      <c r="G35" s="38" t="s">
        <v>76</v>
      </c>
      <c r="H35" s="39" t="s">
        <v>76</v>
      </c>
      <c r="I35" s="38" t="str">
        <f t="shared" si="45"/>
        <v>#REF!</v>
      </c>
      <c r="J35" s="38" t="str">
        <f t="shared" si="46"/>
        <v>#REF!</v>
      </c>
      <c r="K35" s="40" t="str">
        <f t="shared" si="47"/>
        <v>#REF!</v>
      </c>
      <c r="L35" s="41" t="str">
        <f t="shared" si="5"/>
        <v>[temple]64[/temple]</v>
      </c>
      <c r="M35" s="38" t="str">
        <f t="shared" si="48"/>
        <v>#REF!</v>
      </c>
      <c r="N35" s="38">
        <f t="shared" ref="N35:O35" si="51">B35-500</f>
        <v>38</v>
      </c>
      <c r="O35" s="38">
        <f t="shared" si="51"/>
        <v>177</v>
      </c>
      <c r="P35" s="38"/>
      <c r="Q35" s="38"/>
      <c r="R35" s="38"/>
      <c r="S35" s="38"/>
      <c r="T35" s="38"/>
      <c r="U35" s="38"/>
    </row>
    <row r="36" ht="15.75" customHeight="1">
      <c r="A36" s="37">
        <v>90.0</v>
      </c>
      <c r="B36" s="38">
        <v>680.0</v>
      </c>
      <c r="C36" s="38">
        <v>396.0</v>
      </c>
      <c r="D36" s="38" t="s">
        <v>80</v>
      </c>
      <c r="E36" s="38">
        <v>63.0</v>
      </c>
      <c r="F36" s="38" t="s">
        <v>75</v>
      </c>
      <c r="G36" s="38" t="s">
        <v>76</v>
      </c>
      <c r="H36" s="39" t="s">
        <v>76</v>
      </c>
      <c r="I36" s="38" t="str">
        <f t="shared" si="45"/>
        <v>#REF!</v>
      </c>
      <c r="J36" s="38" t="str">
        <f t="shared" si="46"/>
        <v>#REF!</v>
      </c>
      <c r="K36" s="40" t="str">
        <f t="shared" si="47"/>
        <v>#REF!</v>
      </c>
      <c r="L36" s="41" t="str">
        <f t="shared" si="5"/>
        <v>[temple]90[/temple]</v>
      </c>
      <c r="M36" s="38" t="str">
        <f t="shared" si="48"/>
        <v>#REF!</v>
      </c>
      <c r="N36" s="38">
        <f t="shared" ref="N36:O36" si="52">B36-500</f>
        <v>180</v>
      </c>
      <c r="O36" s="38">
        <f t="shared" si="52"/>
        <v>-104</v>
      </c>
      <c r="P36" s="38"/>
      <c r="Q36" s="38"/>
      <c r="R36" s="42"/>
      <c r="S36" s="42"/>
      <c r="T36" s="42"/>
      <c r="U36" s="42"/>
    </row>
    <row r="37" ht="15.75" customHeight="1">
      <c r="A37" s="37">
        <v>49.0</v>
      </c>
      <c r="B37" s="38">
        <v>652.0</v>
      </c>
      <c r="C37" s="38">
        <v>519.0</v>
      </c>
      <c r="D37" s="38" t="s">
        <v>81</v>
      </c>
      <c r="E37" s="38">
        <v>65.0</v>
      </c>
      <c r="F37" s="38" t="s">
        <v>75</v>
      </c>
      <c r="G37" s="38" t="s">
        <v>76</v>
      </c>
      <c r="H37" s="39" t="s">
        <v>76</v>
      </c>
      <c r="I37" s="38" t="str">
        <f t="shared" si="45"/>
        <v>#REF!</v>
      </c>
      <c r="J37" s="38" t="str">
        <f t="shared" si="46"/>
        <v>#REF!</v>
      </c>
      <c r="K37" s="40" t="str">
        <f t="shared" si="47"/>
        <v>#REF!</v>
      </c>
      <c r="L37" s="41" t="str">
        <f t="shared" si="5"/>
        <v>[temple]49[/temple]</v>
      </c>
      <c r="M37" s="38" t="str">
        <f t="shared" si="48"/>
        <v>#REF!</v>
      </c>
      <c r="N37" s="38">
        <f t="shared" ref="N37:O37" si="53">B37-500</f>
        <v>152</v>
      </c>
      <c r="O37" s="38">
        <f t="shared" si="53"/>
        <v>19</v>
      </c>
      <c r="P37" s="38"/>
      <c r="Q37" s="38"/>
      <c r="R37" s="38"/>
      <c r="S37" s="38"/>
      <c r="T37" s="38"/>
      <c r="U37" s="38"/>
    </row>
    <row r="38" ht="18.0" customHeight="1">
      <c r="A38" s="37">
        <v>68.0</v>
      </c>
      <c r="B38" s="38">
        <v>606.0</v>
      </c>
      <c r="C38" s="38">
        <v>648.0</v>
      </c>
      <c r="D38" s="38" t="s">
        <v>82</v>
      </c>
      <c r="E38" s="38">
        <v>66.0</v>
      </c>
      <c r="F38" s="38" t="s">
        <v>75</v>
      </c>
      <c r="G38" s="38" t="s">
        <v>76</v>
      </c>
      <c r="H38" s="39" t="s">
        <v>76</v>
      </c>
      <c r="I38" s="38" t="str">
        <f t="shared" si="45"/>
        <v>#REF!</v>
      </c>
      <c r="J38" s="38" t="str">
        <f t="shared" si="46"/>
        <v>#REF!</v>
      </c>
      <c r="K38" s="40" t="str">
        <f t="shared" si="47"/>
        <v>#REF!</v>
      </c>
      <c r="L38" s="41" t="str">
        <f t="shared" si="5"/>
        <v>[temple]68[/temple]</v>
      </c>
      <c r="M38" s="38" t="str">
        <f t="shared" si="48"/>
        <v>#REF!</v>
      </c>
      <c r="N38" s="38">
        <f t="shared" ref="N38:O38" si="54">B38-500</f>
        <v>106</v>
      </c>
      <c r="O38" s="38">
        <f t="shared" si="54"/>
        <v>148</v>
      </c>
      <c r="P38" s="38"/>
      <c r="Q38" s="38"/>
      <c r="R38" s="38"/>
      <c r="S38" s="38"/>
      <c r="T38" s="38"/>
      <c r="U38" s="38"/>
    </row>
    <row r="39" ht="15.75" customHeight="1">
      <c r="A39" s="37">
        <v>112.0</v>
      </c>
      <c r="B39" s="38">
        <v>700.0</v>
      </c>
      <c r="C39" s="38">
        <v>393.0</v>
      </c>
      <c r="D39" s="38" t="s">
        <v>83</v>
      </c>
      <c r="E39" s="38">
        <v>73.0</v>
      </c>
      <c r="F39" s="38" t="s">
        <v>75</v>
      </c>
      <c r="G39" s="38" t="s">
        <v>76</v>
      </c>
      <c r="H39" s="39" t="s">
        <v>76</v>
      </c>
      <c r="I39" s="38" t="str">
        <f t="shared" si="45"/>
        <v>#REF!</v>
      </c>
      <c r="J39" s="38" t="str">
        <f t="shared" si="46"/>
        <v>#REF!</v>
      </c>
      <c r="K39" s="40" t="str">
        <f t="shared" si="47"/>
        <v>#REF!</v>
      </c>
      <c r="L39" s="41" t="str">
        <f t="shared" si="5"/>
        <v>[temple]112[/temple]</v>
      </c>
      <c r="M39" s="38" t="str">
        <f t="shared" si="48"/>
        <v>#REF!</v>
      </c>
      <c r="N39" s="38">
        <f t="shared" ref="N39:O39" si="55">B39-500</f>
        <v>200</v>
      </c>
      <c r="O39" s="38">
        <f t="shared" si="55"/>
        <v>-107</v>
      </c>
      <c r="P39" s="38"/>
      <c r="Q39" s="38"/>
      <c r="R39" s="42"/>
      <c r="S39" s="42"/>
      <c r="T39" s="42"/>
      <c r="U39" s="42"/>
    </row>
    <row r="40" ht="15.75" customHeight="1">
      <c r="A40" s="43">
        <v>88.0</v>
      </c>
      <c r="B40" s="44">
        <v>367.0</v>
      </c>
      <c r="C40" s="44">
        <v>660.0</v>
      </c>
      <c r="D40" s="45" t="s">
        <v>84</v>
      </c>
      <c r="E40" s="44">
        <v>36.0</v>
      </c>
      <c r="F40" s="45" t="s">
        <v>75</v>
      </c>
      <c r="G40" s="38" t="s">
        <v>76</v>
      </c>
      <c r="H40" s="39" t="s">
        <v>76</v>
      </c>
      <c r="I40" s="46" t="str">
        <f t="shared" ref="I40:I43" si="57">VLOOKUP(F40,'Listing Effets'!$A$2:$D$101,2,FALSE)</f>
        <v>#REF!</v>
      </c>
      <c r="J40" s="46" t="str">
        <f t="shared" ref="J40:J43" si="58">VLOOKUP(F40,'Listing Effets'!$A$2:$D$101,3,FALSE)</f>
        <v>#REF!</v>
      </c>
      <c r="K40" s="47" t="str">
        <f t="shared" ref="K40:K43" si="59">ABS(SQRT((C40-500)^2+(B40-500)^2)-Calculs!$C$6)</f>
        <v>#REF!</v>
      </c>
      <c r="L40" s="45" t="str">
        <f t="shared" si="5"/>
        <v>[temple]88[/temple]</v>
      </c>
      <c r="M40" s="46" t="str">
        <f t="shared" ref="M40:M43" si="60">IF(ABS(SQRT((C40-500)^2+(B40-500)^2))&lt;Calculs!$C$7,"Inté",IF(K40&gt;Calculs!$C$8,"Exté",IF(AND(N40&lt;=0,O40&lt;=0),"Nord-Ouest",IF(AND(N40&lt;=0,O40&gt;=0),"Sud-Ouest",IF(AND(N40&gt;=0,O40&lt;=0),"Nord-Est",IF(AND(N40&gt;=0,O40&gt;=0),"Sud-Est","Probleme"))))))</f>
        <v>#REF!</v>
      </c>
      <c r="N40" s="44">
        <f t="shared" ref="N40:O40" si="56">B40-500</f>
        <v>-133</v>
      </c>
      <c r="O40" s="44">
        <f t="shared" si="56"/>
        <v>160</v>
      </c>
      <c r="P40" s="45"/>
      <c r="Q40" s="45"/>
      <c r="R40" s="15"/>
      <c r="S40" s="15"/>
      <c r="T40" s="15"/>
      <c r="U40" s="15"/>
      <c r="V40" s="16"/>
      <c r="W40" s="16"/>
      <c r="X40" s="16"/>
      <c r="Y40" s="16"/>
      <c r="Z40" s="16"/>
    </row>
    <row r="41" ht="15.75" customHeight="1">
      <c r="A41" s="43">
        <v>24.0</v>
      </c>
      <c r="B41" s="44">
        <v>469.0</v>
      </c>
      <c r="C41" s="44">
        <v>396.0</v>
      </c>
      <c r="D41" s="45" t="s">
        <v>85</v>
      </c>
      <c r="E41" s="44">
        <v>43.0</v>
      </c>
      <c r="F41" s="45" t="s">
        <v>75</v>
      </c>
      <c r="G41" s="38" t="s">
        <v>76</v>
      </c>
      <c r="H41" s="39" t="s">
        <v>76</v>
      </c>
      <c r="I41" s="46" t="str">
        <f t="shared" si="57"/>
        <v>#REF!</v>
      </c>
      <c r="J41" s="46" t="str">
        <f t="shared" si="58"/>
        <v>#REF!</v>
      </c>
      <c r="K41" s="47" t="str">
        <f t="shared" si="59"/>
        <v>#REF!</v>
      </c>
      <c r="L41" s="45" t="str">
        <f t="shared" si="5"/>
        <v>[temple]24[/temple]</v>
      </c>
      <c r="M41" s="46" t="str">
        <f t="shared" si="60"/>
        <v>#REF!</v>
      </c>
      <c r="N41" s="44">
        <f t="shared" ref="N41:O41" si="61">B41-500</f>
        <v>-31</v>
      </c>
      <c r="O41" s="44">
        <f t="shared" si="61"/>
        <v>-104</v>
      </c>
      <c r="P41" s="45"/>
      <c r="Q41" s="45"/>
      <c r="R41" s="15"/>
      <c r="S41" s="15"/>
      <c r="T41" s="15"/>
      <c r="U41" s="15"/>
      <c r="V41" s="16"/>
      <c r="W41" s="16"/>
      <c r="X41" s="16"/>
      <c r="Y41" s="16"/>
      <c r="Z41" s="16"/>
    </row>
    <row r="42" ht="15.75" customHeight="1">
      <c r="A42" s="48">
        <v>105.0</v>
      </c>
      <c r="B42" s="49">
        <v>456.0</v>
      </c>
      <c r="C42" s="49">
        <v>259.0</v>
      </c>
      <c r="D42" s="50" t="s">
        <v>86</v>
      </c>
      <c r="E42" s="49">
        <v>42.0</v>
      </c>
      <c r="F42" s="50" t="s">
        <v>75</v>
      </c>
      <c r="G42" s="51" t="s">
        <v>87</v>
      </c>
      <c r="H42" s="52" t="s">
        <v>76</v>
      </c>
      <c r="I42" s="53" t="str">
        <f t="shared" si="57"/>
        <v>#REF!</v>
      </c>
      <c r="J42" s="53" t="str">
        <f t="shared" si="58"/>
        <v>#REF!</v>
      </c>
      <c r="K42" s="54" t="str">
        <f t="shared" si="59"/>
        <v>#REF!</v>
      </c>
      <c r="L42" s="50" t="str">
        <f t="shared" si="5"/>
        <v>[temple]105[/temple]</v>
      </c>
      <c r="M42" s="53" t="str">
        <f t="shared" si="60"/>
        <v>#REF!</v>
      </c>
      <c r="N42" s="49">
        <f t="shared" ref="N42:O42" si="62">B42-500</f>
        <v>-44</v>
      </c>
      <c r="O42" s="49">
        <f t="shared" si="62"/>
        <v>-241</v>
      </c>
      <c r="P42" s="50"/>
      <c r="Q42" s="50"/>
      <c r="R42" s="15"/>
      <c r="S42" s="15"/>
      <c r="T42" s="15"/>
      <c r="U42" s="15"/>
      <c r="V42" s="16"/>
      <c r="W42" s="16"/>
      <c r="X42" s="16"/>
      <c r="Y42" s="16"/>
      <c r="Z42" s="16"/>
    </row>
    <row r="43" ht="15.75" customHeight="1">
      <c r="A43" s="48">
        <v>149.0</v>
      </c>
      <c r="B43" s="49">
        <v>570.0</v>
      </c>
      <c r="C43" s="49">
        <v>241.0</v>
      </c>
      <c r="D43" s="50" t="s">
        <v>88</v>
      </c>
      <c r="E43" s="49">
        <v>52.0</v>
      </c>
      <c r="F43" s="50" t="s">
        <v>75</v>
      </c>
      <c r="G43" s="51" t="s">
        <v>87</v>
      </c>
      <c r="H43" s="52" t="s">
        <v>76</v>
      </c>
      <c r="I43" s="53" t="str">
        <f t="shared" si="57"/>
        <v>#REF!</v>
      </c>
      <c r="J43" s="53" t="str">
        <f t="shared" si="58"/>
        <v>#REF!</v>
      </c>
      <c r="K43" s="54" t="str">
        <f t="shared" si="59"/>
        <v>#REF!</v>
      </c>
      <c r="L43" s="50" t="str">
        <f t="shared" si="5"/>
        <v>[temple]149[/temple]</v>
      </c>
      <c r="M43" s="53" t="str">
        <f t="shared" si="60"/>
        <v>#REF!</v>
      </c>
      <c r="N43" s="49">
        <f t="shared" ref="N43:O43" si="63">B43-500</f>
        <v>70</v>
      </c>
      <c r="O43" s="49">
        <f t="shared" si="63"/>
        <v>-259</v>
      </c>
      <c r="P43" s="50"/>
      <c r="Q43" s="50"/>
      <c r="R43" s="15"/>
      <c r="S43" s="15"/>
      <c r="T43" s="15"/>
      <c r="U43" s="15"/>
      <c r="V43" s="16"/>
      <c r="W43" s="16"/>
      <c r="X43" s="16"/>
      <c r="Y43" s="16"/>
      <c r="Z43" s="16"/>
    </row>
    <row r="44" ht="15.75" customHeight="1">
      <c r="A44" s="55">
        <v>67.0</v>
      </c>
      <c r="B44" s="56">
        <v>304.0</v>
      </c>
      <c r="C44" s="56">
        <v>544.0</v>
      </c>
      <c r="D44" s="56" t="s">
        <v>89</v>
      </c>
      <c r="E44" s="56">
        <v>35.0</v>
      </c>
      <c r="F44" s="56" t="s">
        <v>90</v>
      </c>
      <c r="G44" s="56" t="s">
        <v>91</v>
      </c>
      <c r="H44" s="57" t="s">
        <v>92</v>
      </c>
      <c r="I44" s="56" t="str">
        <f t="shared" ref="I44:I49" si="65">VLOOKUP(F44,'Listing Effets'!$A$2:$D$101,2,FALSE)</f>
        <v>#REF!</v>
      </c>
      <c r="J44" s="56" t="str">
        <f t="shared" ref="J44:J49" si="66">VLOOKUP(F44,'Listing Effets'!$A$2:$D$101,3,FALSE)</f>
        <v>#REF!</v>
      </c>
      <c r="K44" s="58" t="str">
        <f t="shared" ref="K44:K49" si="67">ABS(SQRT((C44-500)^2+(B44-500)^2)-Calculs!$C$6)</f>
        <v>#REF!</v>
      </c>
      <c r="L44" s="59" t="str">
        <f t="shared" si="5"/>
        <v>[temple]67[/temple]</v>
      </c>
      <c r="M44" s="56" t="str">
        <f t="shared" ref="M44:M49" si="68">IF(ABS(SQRT((C44-500)^2+(B44-500)^2))&lt;Calculs!$C$7,"Inté",IF(K44&gt;Calculs!$C$8,"Exté",IF(AND(N44&lt;=0,O44&lt;=0),"Nord-Ouest",IF(AND(N44&lt;=0,O44&gt;=0),"Sud-Ouest",IF(AND(N44&gt;=0,O44&lt;=0),"Nord-Est",IF(AND(N44&gt;=0,O44&gt;=0),"Sud-Est","Probleme"))))))</f>
        <v>#REF!</v>
      </c>
      <c r="N44" s="56">
        <f t="shared" ref="N44:O44" si="64">B44-500</f>
        <v>-196</v>
      </c>
      <c r="O44" s="56">
        <f t="shared" si="64"/>
        <v>44</v>
      </c>
      <c r="P44" s="56"/>
      <c r="Q44" s="56"/>
      <c r="R44" s="56"/>
      <c r="S44" s="56"/>
      <c r="T44" s="56"/>
      <c r="U44" s="56"/>
    </row>
    <row r="45" ht="15.75" customHeight="1">
      <c r="A45" s="55">
        <v>72.0</v>
      </c>
      <c r="B45" s="56">
        <v>461.0</v>
      </c>
      <c r="C45" s="56">
        <v>696.0</v>
      </c>
      <c r="D45" s="56" t="s">
        <v>93</v>
      </c>
      <c r="E45" s="56">
        <v>46.0</v>
      </c>
      <c r="F45" s="56" t="s">
        <v>90</v>
      </c>
      <c r="G45" s="56" t="s">
        <v>91</v>
      </c>
      <c r="H45" s="57" t="s">
        <v>92</v>
      </c>
      <c r="I45" s="56" t="str">
        <f t="shared" si="65"/>
        <v>#REF!</v>
      </c>
      <c r="J45" s="56" t="str">
        <f t="shared" si="66"/>
        <v>#REF!</v>
      </c>
      <c r="K45" s="58" t="str">
        <f t="shared" si="67"/>
        <v>#REF!</v>
      </c>
      <c r="L45" s="59" t="str">
        <f t="shared" si="5"/>
        <v>[temple]72[/temple]</v>
      </c>
      <c r="M45" s="56" t="str">
        <f t="shared" si="68"/>
        <v>#REF!</v>
      </c>
      <c r="N45" s="56">
        <f t="shared" ref="N45:O45" si="69">B45-500</f>
        <v>-39</v>
      </c>
      <c r="O45" s="56">
        <f t="shared" si="69"/>
        <v>196</v>
      </c>
      <c r="P45" s="56"/>
      <c r="Q45" s="56"/>
      <c r="R45" s="56"/>
      <c r="S45" s="56"/>
      <c r="T45" s="56"/>
      <c r="U45" s="56"/>
    </row>
    <row r="46" ht="15.75" customHeight="1">
      <c r="A46" s="55">
        <v>79.0</v>
      </c>
      <c r="B46" s="56">
        <v>516.0</v>
      </c>
      <c r="C46" s="56">
        <v>682.0</v>
      </c>
      <c r="D46" s="56" t="s">
        <v>94</v>
      </c>
      <c r="E46" s="56">
        <v>56.0</v>
      </c>
      <c r="F46" s="56" t="s">
        <v>90</v>
      </c>
      <c r="G46" s="56" t="s">
        <v>91</v>
      </c>
      <c r="H46" s="57" t="s">
        <v>92</v>
      </c>
      <c r="I46" s="56" t="str">
        <f t="shared" si="65"/>
        <v>#REF!</v>
      </c>
      <c r="J46" s="56" t="str">
        <f t="shared" si="66"/>
        <v>#REF!</v>
      </c>
      <c r="K46" s="58" t="str">
        <f t="shared" si="67"/>
        <v>#REF!</v>
      </c>
      <c r="L46" s="59" t="str">
        <f t="shared" si="5"/>
        <v>[temple]79[/temple]</v>
      </c>
      <c r="M46" s="56" t="str">
        <f t="shared" si="68"/>
        <v>#REF!</v>
      </c>
      <c r="N46" s="56">
        <f t="shared" ref="N46:O46" si="70">B46-500</f>
        <v>16</v>
      </c>
      <c r="O46" s="56">
        <f t="shared" si="70"/>
        <v>182</v>
      </c>
      <c r="P46" s="56"/>
      <c r="Q46" s="56"/>
      <c r="R46" s="56"/>
      <c r="S46" s="56"/>
      <c r="T46" s="56"/>
      <c r="U46" s="56"/>
    </row>
    <row r="47" ht="15.75" customHeight="1">
      <c r="A47" s="55">
        <v>114.0</v>
      </c>
      <c r="B47" s="56">
        <v>580.0</v>
      </c>
      <c r="C47" s="56">
        <v>284.0</v>
      </c>
      <c r="D47" s="56" t="s">
        <v>95</v>
      </c>
      <c r="E47" s="56">
        <v>52.0</v>
      </c>
      <c r="F47" s="56" t="s">
        <v>96</v>
      </c>
      <c r="G47" s="56" t="s">
        <v>91</v>
      </c>
      <c r="H47" s="57" t="s">
        <v>97</v>
      </c>
      <c r="I47" s="56" t="str">
        <f t="shared" si="65"/>
        <v>#REF!</v>
      </c>
      <c r="J47" s="56" t="str">
        <f t="shared" si="66"/>
        <v>#REF!</v>
      </c>
      <c r="K47" s="58" t="str">
        <f t="shared" si="67"/>
        <v>#REF!</v>
      </c>
      <c r="L47" s="59" t="str">
        <f t="shared" si="5"/>
        <v>[temple]114[/temple]</v>
      </c>
      <c r="M47" s="56" t="str">
        <f t="shared" si="68"/>
        <v>#REF!</v>
      </c>
      <c r="N47" s="56">
        <f t="shared" ref="N47:O47" si="71">B47-500</f>
        <v>80</v>
      </c>
      <c r="O47" s="56">
        <f t="shared" si="71"/>
        <v>-216</v>
      </c>
      <c r="P47" s="56"/>
      <c r="Q47" s="56"/>
      <c r="R47" s="56"/>
      <c r="S47" s="56"/>
      <c r="T47" s="56"/>
      <c r="U47" s="56"/>
    </row>
    <row r="48" ht="15.75" customHeight="1">
      <c r="A48" s="55">
        <v>44.0</v>
      </c>
      <c r="B48" s="56">
        <v>581.0</v>
      </c>
      <c r="C48" s="56">
        <v>631.0</v>
      </c>
      <c r="D48" s="56" t="s">
        <v>98</v>
      </c>
      <c r="E48" s="56">
        <v>56.0</v>
      </c>
      <c r="F48" s="56" t="s">
        <v>96</v>
      </c>
      <c r="G48" s="56" t="s">
        <v>91</v>
      </c>
      <c r="H48" s="57" t="s">
        <v>97</v>
      </c>
      <c r="I48" s="56" t="str">
        <f t="shared" si="65"/>
        <v>#REF!</v>
      </c>
      <c r="J48" s="56" t="str">
        <f t="shared" si="66"/>
        <v>#REF!</v>
      </c>
      <c r="K48" s="58" t="str">
        <f t="shared" si="67"/>
        <v>#REF!</v>
      </c>
      <c r="L48" s="59" t="str">
        <f t="shared" si="5"/>
        <v>[temple]44[/temple]</v>
      </c>
      <c r="M48" s="56" t="str">
        <f t="shared" si="68"/>
        <v>#REF!</v>
      </c>
      <c r="N48" s="56">
        <f t="shared" ref="N48:O48" si="72">B48-500</f>
        <v>81</v>
      </c>
      <c r="O48" s="56">
        <f t="shared" si="72"/>
        <v>131</v>
      </c>
      <c r="P48" s="56"/>
      <c r="Q48" s="56"/>
      <c r="R48" s="56"/>
      <c r="S48" s="56"/>
      <c r="T48" s="56"/>
      <c r="U48" s="56"/>
    </row>
    <row r="49" ht="15.75" customHeight="1">
      <c r="A49" s="55">
        <v>128.0</v>
      </c>
      <c r="B49" s="56">
        <v>703.0</v>
      </c>
      <c r="C49" s="56">
        <v>656.0</v>
      </c>
      <c r="D49" s="56" t="s">
        <v>99</v>
      </c>
      <c r="E49" s="56">
        <v>76.0</v>
      </c>
      <c r="F49" s="56" t="s">
        <v>96</v>
      </c>
      <c r="G49" s="56" t="s">
        <v>91</v>
      </c>
      <c r="H49" s="57" t="s">
        <v>97</v>
      </c>
      <c r="I49" s="56" t="str">
        <f t="shared" si="65"/>
        <v>#REF!</v>
      </c>
      <c r="J49" s="56" t="str">
        <f t="shared" si="66"/>
        <v>#REF!</v>
      </c>
      <c r="K49" s="58" t="str">
        <f t="shared" si="67"/>
        <v>#REF!</v>
      </c>
      <c r="L49" s="59" t="str">
        <f t="shared" si="5"/>
        <v>[temple]128[/temple]</v>
      </c>
      <c r="M49" s="56" t="str">
        <f t="shared" si="68"/>
        <v>#REF!</v>
      </c>
      <c r="N49" s="56">
        <f t="shared" ref="N49:O49" si="73">B49-500</f>
        <v>203</v>
      </c>
      <c r="O49" s="56">
        <f t="shared" si="73"/>
        <v>156</v>
      </c>
      <c r="P49" s="56"/>
      <c r="Q49" s="56"/>
      <c r="R49" s="56"/>
      <c r="S49" s="56"/>
      <c r="T49" s="56"/>
      <c r="U49" s="56"/>
    </row>
    <row r="50">
      <c r="A50" s="60">
        <v>122.0</v>
      </c>
      <c r="B50" s="61">
        <v>583.0</v>
      </c>
      <c r="C50" s="61">
        <v>730.0</v>
      </c>
      <c r="D50" s="62" t="s">
        <v>100</v>
      </c>
      <c r="E50" s="61">
        <v>57.0</v>
      </c>
      <c r="F50" s="62" t="s">
        <v>101</v>
      </c>
      <c r="G50" s="56" t="s">
        <v>91</v>
      </c>
      <c r="H50" s="57" t="s">
        <v>92</v>
      </c>
      <c r="I50" s="63" t="str">
        <f t="shared" ref="I50:I55" si="75">VLOOKUP(F50,'Listing Effets'!$A$2:$D$101,2,FALSE)</f>
        <v>#REF!</v>
      </c>
      <c r="J50" s="63" t="str">
        <f t="shared" ref="J50:J55" si="76">VLOOKUP(F50,'Listing Effets'!$A$2:$D$101,3,FALSE)</f>
        <v>#REF!</v>
      </c>
      <c r="K50" s="64" t="str">
        <f t="shared" ref="K50:K55" si="77">ABS(SQRT((C50-500)^2+(B50-500)^2)-Calculs!$C$6)</f>
        <v>#REF!</v>
      </c>
      <c r="L50" s="62" t="str">
        <f t="shared" si="5"/>
        <v>[temple]122[/temple]</v>
      </c>
      <c r="M50" s="63" t="str">
        <f t="shared" ref="M50:M55" si="78">IF(ABS(SQRT((C50-500)^2+(B50-500)^2))&lt;Calculs!$C$7,"Inté",IF(K50&gt;Calculs!$C$8,"Exté",IF(AND(N50&lt;=0,O50&lt;=0),"Nord-Ouest",IF(AND(N50&lt;=0,O50&gt;=0),"Sud-Ouest",IF(AND(N50&gt;=0,O50&lt;=0),"Nord-Est",IF(AND(N50&gt;=0,O50&gt;=0),"Sud-Est","Probleme"))))))</f>
        <v>#REF!</v>
      </c>
      <c r="N50" s="61">
        <f t="shared" ref="N50:O50" si="74">B50-500</f>
        <v>83</v>
      </c>
      <c r="O50" s="61">
        <f t="shared" si="74"/>
        <v>230</v>
      </c>
      <c r="P50" s="62"/>
      <c r="Q50" s="62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60">
        <v>56.0</v>
      </c>
      <c r="B51" s="61">
        <v>637.0</v>
      </c>
      <c r="C51" s="61">
        <v>413.0</v>
      </c>
      <c r="D51" s="62" t="s">
        <v>102</v>
      </c>
      <c r="E51" s="61">
        <v>64.0</v>
      </c>
      <c r="F51" s="62" t="s">
        <v>101</v>
      </c>
      <c r="G51" s="56" t="s">
        <v>91</v>
      </c>
      <c r="H51" s="57" t="s">
        <v>92</v>
      </c>
      <c r="I51" s="63" t="str">
        <f t="shared" si="75"/>
        <v>#REF!</v>
      </c>
      <c r="J51" s="63" t="str">
        <f t="shared" si="76"/>
        <v>#REF!</v>
      </c>
      <c r="K51" s="64" t="str">
        <f t="shared" si="77"/>
        <v>#REF!</v>
      </c>
      <c r="L51" s="62" t="str">
        <f t="shared" si="5"/>
        <v>[temple]56[/temple]</v>
      </c>
      <c r="M51" s="63" t="str">
        <f t="shared" si="78"/>
        <v>#REF!</v>
      </c>
      <c r="N51" s="61">
        <f t="shared" ref="N51:O51" si="79">B51-500</f>
        <v>137</v>
      </c>
      <c r="O51" s="61">
        <f t="shared" si="79"/>
        <v>-87</v>
      </c>
      <c r="P51" s="62"/>
      <c r="Q51" s="62"/>
      <c r="R51" s="16"/>
      <c r="S51" s="16"/>
      <c r="T51" s="16"/>
      <c r="U51" s="16"/>
      <c r="V51" s="16"/>
      <c r="W51" s="16"/>
      <c r="X51" s="16"/>
      <c r="Y51" s="16"/>
      <c r="Z51" s="16"/>
    </row>
    <row r="52" ht="15.75" customHeight="1">
      <c r="A52" s="65">
        <v>150.0</v>
      </c>
      <c r="B52" s="66">
        <v>743.0</v>
      </c>
      <c r="C52" s="66">
        <v>400.0</v>
      </c>
      <c r="D52" s="67" t="s">
        <v>103</v>
      </c>
      <c r="E52" s="66">
        <v>74.0</v>
      </c>
      <c r="F52" s="68" t="s">
        <v>90</v>
      </c>
      <c r="G52" s="56" t="s">
        <v>91</v>
      </c>
      <c r="H52" s="57" t="s">
        <v>92</v>
      </c>
      <c r="I52" s="69" t="str">
        <f t="shared" si="75"/>
        <v>#REF!</v>
      </c>
      <c r="J52" s="69" t="str">
        <f t="shared" si="76"/>
        <v>#REF!</v>
      </c>
      <c r="K52" s="64" t="str">
        <f t="shared" si="77"/>
        <v>#REF!</v>
      </c>
      <c r="L52" s="68" t="str">
        <f t="shared" si="5"/>
        <v>[temple]150[/temple]</v>
      </c>
      <c r="M52" s="69" t="str">
        <f t="shared" si="78"/>
        <v>#REF!</v>
      </c>
      <c r="N52" s="66">
        <f t="shared" ref="N52:O52" si="80">B52-500</f>
        <v>243</v>
      </c>
      <c r="O52" s="66">
        <f t="shared" si="80"/>
        <v>-100</v>
      </c>
      <c r="P52" s="68"/>
      <c r="Q52" s="68"/>
      <c r="R52" s="15"/>
      <c r="S52" s="15"/>
      <c r="T52" s="15"/>
      <c r="U52" s="15"/>
      <c r="V52" s="16"/>
      <c r="W52" s="16"/>
      <c r="X52" s="16"/>
      <c r="Y52" s="16"/>
      <c r="Z52" s="16"/>
    </row>
    <row r="53" ht="15.75" customHeight="1">
      <c r="A53" s="65">
        <v>19.0</v>
      </c>
      <c r="B53" s="66">
        <v>602.0</v>
      </c>
      <c r="C53" s="66">
        <v>543.0</v>
      </c>
      <c r="D53" s="68" t="s">
        <v>104</v>
      </c>
      <c r="E53" s="66">
        <v>65.0</v>
      </c>
      <c r="F53" s="68" t="s">
        <v>90</v>
      </c>
      <c r="G53" s="56" t="s">
        <v>91</v>
      </c>
      <c r="H53" s="57" t="s">
        <v>92</v>
      </c>
      <c r="I53" s="69" t="str">
        <f t="shared" si="75"/>
        <v>#REF!</v>
      </c>
      <c r="J53" s="69" t="str">
        <f t="shared" si="76"/>
        <v>#REF!</v>
      </c>
      <c r="K53" s="64" t="str">
        <f t="shared" si="77"/>
        <v>#REF!</v>
      </c>
      <c r="L53" s="68" t="str">
        <f t="shared" si="5"/>
        <v>[temple]19[/temple]</v>
      </c>
      <c r="M53" s="69" t="str">
        <f t="shared" si="78"/>
        <v>#REF!</v>
      </c>
      <c r="N53" s="66">
        <f t="shared" ref="N53:O53" si="81">B53-500</f>
        <v>102</v>
      </c>
      <c r="O53" s="66">
        <f t="shared" si="81"/>
        <v>43</v>
      </c>
      <c r="P53" s="68"/>
      <c r="Q53" s="68"/>
      <c r="R53" s="15"/>
      <c r="S53" s="15"/>
      <c r="T53" s="15"/>
      <c r="U53" s="15"/>
      <c r="V53" s="16"/>
      <c r="W53" s="16"/>
      <c r="X53" s="16"/>
      <c r="Y53" s="16"/>
      <c r="Z53" s="16"/>
    </row>
    <row r="54" ht="15.75" customHeight="1">
      <c r="A54" s="70">
        <v>136.0</v>
      </c>
      <c r="B54" s="71">
        <v>727.0</v>
      </c>
      <c r="C54" s="71">
        <v>358.0</v>
      </c>
      <c r="D54" s="72" t="s">
        <v>105</v>
      </c>
      <c r="E54" s="73">
        <v>73.0</v>
      </c>
      <c r="F54" s="74" t="s">
        <v>41</v>
      </c>
      <c r="G54" s="75" t="s">
        <v>106</v>
      </c>
      <c r="H54" s="76" t="s">
        <v>42</v>
      </c>
      <c r="I54" s="77" t="str">
        <f t="shared" si="75"/>
        <v>#REF!</v>
      </c>
      <c r="J54" s="78" t="str">
        <f t="shared" si="76"/>
        <v>#REF!</v>
      </c>
      <c r="K54" s="79" t="str">
        <f t="shared" si="77"/>
        <v>#REF!</v>
      </c>
      <c r="L54" s="72" t="str">
        <f t="shared" si="5"/>
        <v>[temple]136[/temple]</v>
      </c>
      <c r="M54" s="78" t="str">
        <f t="shared" si="78"/>
        <v>#REF!</v>
      </c>
      <c r="N54" s="71">
        <f t="shared" ref="N54:O54" si="82">B54-500</f>
        <v>227</v>
      </c>
      <c r="O54" s="71">
        <f t="shared" si="82"/>
        <v>-142</v>
      </c>
      <c r="P54" s="72"/>
      <c r="Q54" s="72"/>
      <c r="R54" s="16"/>
      <c r="S54" s="16"/>
      <c r="T54" s="16"/>
      <c r="U54" s="16"/>
      <c r="V54" s="16"/>
      <c r="W54" s="16"/>
      <c r="X54" s="16"/>
      <c r="Y54" s="16"/>
      <c r="Z54" s="16"/>
    </row>
    <row r="55" ht="15.75" customHeight="1">
      <c r="A55" s="70">
        <v>146.0</v>
      </c>
      <c r="B55" s="73">
        <v>726.0</v>
      </c>
      <c r="C55" s="73">
        <v>627.0</v>
      </c>
      <c r="D55" s="74" t="s">
        <v>107</v>
      </c>
      <c r="E55" s="73">
        <v>76.0</v>
      </c>
      <c r="F55" s="74" t="s">
        <v>16</v>
      </c>
      <c r="G55" s="75" t="s">
        <v>106</v>
      </c>
      <c r="H55" s="76" t="s">
        <v>18</v>
      </c>
      <c r="I55" s="77" t="str">
        <f t="shared" si="75"/>
        <v>#REF!</v>
      </c>
      <c r="J55" s="77" t="str">
        <f t="shared" si="76"/>
        <v>#REF!</v>
      </c>
      <c r="K55" s="79" t="str">
        <f t="shared" si="77"/>
        <v>#REF!</v>
      </c>
      <c r="L55" s="74" t="str">
        <f t="shared" si="5"/>
        <v>[temple]146[/temple]</v>
      </c>
      <c r="M55" s="77" t="str">
        <f t="shared" si="78"/>
        <v>#REF!</v>
      </c>
      <c r="N55" s="73">
        <f t="shared" ref="N55:O55" si="83">B55-500</f>
        <v>226</v>
      </c>
      <c r="O55" s="73">
        <f t="shared" si="83"/>
        <v>127</v>
      </c>
      <c r="P55" s="74"/>
      <c r="Q55" s="74"/>
      <c r="R55" s="15"/>
      <c r="S55" s="15"/>
      <c r="T55" s="15"/>
      <c r="U55" s="15"/>
      <c r="V55" s="16"/>
      <c r="W55" s="16"/>
      <c r="X55" s="16"/>
      <c r="Y55" s="16"/>
      <c r="Z55" s="16"/>
    </row>
    <row r="56" ht="15.75" customHeight="1">
      <c r="A56" s="80">
        <v>99.0</v>
      </c>
      <c r="B56" s="81">
        <v>552.0</v>
      </c>
      <c r="C56" s="81">
        <v>707.0</v>
      </c>
      <c r="D56" s="81" t="s">
        <v>108</v>
      </c>
      <c r="E56" s="81">
        <v>57.0</v>
      </c>
      <c r="F56" s="81" t="s">
        <v>101</v>
      </c>
      <c r="G56" s="75" t="s">
        <v>106</v>
      </c>
      <c r="H56" s="76" t="s">
        <v>109</v>
      </c>
      <c r="I56" s="81" t="str">
        <f>VLOOKUP(F56,'Listing Effets'!$A$2:$D$101,2,FALSE)</f>
        <v>#REF!</v>
      </c>
      <c r="J56" s="81" t="str">
        <f>VLOOKUP(F56,'Listing Effets'!$A$2:$D$101,3,FALSE)</f>
        <v>#REF!</v>
      </c>
      <c r="K56" s="82" t="str">
        <f>ABS(SQRT((C56-500)^2+(B56-500)^2)-Calculs!$C$6)</f>
        <v>#REF!</v>
      </c>
      <c r="L56" s="83" t="str">
        <f t="shared" si="5"/>
        <v>[temple]99[/temple]</v>
      </c>
      <c r="M56" s="81" t="str">
        <f>IF(ABS(SQRT((C56-500)^2+(B56-500)^2))&lt;Calculs!$C$7,"Inté",IF(K56&gt;Calculs!$C$8,"Exté",IF(AND(N56&lt;=0,O56&lt;=0),"Nord-Ouest",IF(AND(N56&lt;=0,O56&gt;=0),"Sud-Ouest",IF(AND(N56&gt;=0,O56&lt;=0),"Nord-Est",IF(AND(N56&gt;=0,O56&gt;=0),"Sud-Est","Probleme"))))))</f>
        <v>#REF!</v>
      </c>
      <c r="N56" s="81">
        <f t="shared" ref="N56:O56" si="84">B56-500</f>
        <v>52</v>
      </c>
      <c r="O56" s="81">
        <f t="shared" si="84"/>
        <v>207</v>
      </c>
      <c r="P56" s="81"/>
      <c r="Q56" s="81"/>
      <c r="R56" s="56"/>
      <c r="S56" s="56"/>
      <c r="T56" s="56"/>
      <c r="U56" s="56"/>
    </row>
    <row r="57" ht="15.75" customHeight="1">
      <c r="A57" s="1"/>
      <c r="E57" s="1"/>
      <c r="F57" s="2"/>
      <c r="H57" s="3"/>
      <c r="I57" s="2"/>
      <c r="K57" s="4"/>
    </row>
    <row r="58" ht="15.75" customHeight="1">
      <c r="A58" s="1"/>
      <c r="E58" s="1"/>
      <c r="F58" s="2"/>
      <c r="H58" s="3"/>
      <c r="I58" s="2"/>
      <c r="K58" s="4"/>
    </row>
    <row r="59" ht="15.75" customHeight="1">
      <c r="A59" s="1"/>
      <c r="E59" s="1"/>
      <c r="F59" s="2"/>
      <c r="H59" s="3"/>
      <c r="I59" s="2"/>
      <c r="K59" s="4"/>
    </row>
    <row r="60" ht="15.75" customHeight="1">
      <c r="A60" s="1"/>
      <c r="E60" s="1"/>
      <c r="F60" s="2"/>
      <c r="H60" s="3"/>
      <c r="I60" s="2"/>
      <c r="K60" s="4"/>
    </row>
    <row r="61" ht="15.75" customHeight="1">
      <c r="A61" s="1"/>
      <c r="E61" s="1"/>
      <c r="F61" s="2"/>
      <c r="H61" s="3"/>
      <c r="I61" s="2"/>
      <c r="K61" s="4"/>
    </row>
    <row r="62" ht="15.75" customHeight="1">
      <c r="A62" s="1"/>
      <c r="E62" s="1"/>
      <c r="F62" s="2"/>
      <c r="H62" s="3"/>
      <c r="I62" s="2"/>
      <c r="K62" s="4"/>
    </row>
    <row r="63" ht="15.75" customHeight="1">
      <c r="A63" s="1"/>
      <c r="E63" s="1"/>
      <c r="F63" s="2"/>
      <c r="H63" s="3"/>
      <c r="I63" s="2"/>
      <c r="K63" s="4"/>
    </row>
    <row r="64" ht="15.75" customHeight="1">
      <c r="A64" s="1"/>
      <c r="E64" s="1"/>
      <c r="F64" s="2"/>
      <c r="H64" s="3"/>
      <c r="I64" s="2"/>
      <c r="K64" s="4"/>
    </row>
    <row r="65" ht="15.75" customHeight="1">
      <c r="A65" s="1"/>
      <c r="E65" s="1"/>
      <c r="F65" s="2"/>
      <c r="H65" s="3"/>
      <c r="I65" s="2"/>
      <c r="K65" s="4"/>
    </row>
    <row r="66" ht="15.75" customHeight="1">
      <c r="A66" s="1"/>
      <c r="E66" s="1"/>
      <c r="F66" s="2"/>
      <c r="H66" s="3"/>
      <c r="I66" s="2"/>
      <c r="K66" s="4"/>
    </row>
    <row r="67" ht="15.75" customHeight="1">
      <c r="A67" s="1"/>
      <c r="E67" s="1"/>
      <c r="F67" s="2"/>
      <c r="H67" s="3"/>
      <c r="I67" s="2"/>
      <c r="K67" s="4"/>
    </row>
    <row r="68" ht="15.75" customHeight="1">
      <c r="A68" s="1"/>
      <c r="E68" s="1"/>
      <c r="F68" s="2"/>
      <c r="H68" s="3"/>
      <c r="I68" s="2"/>
      <c r="K68" s="4"/>
    </row>
    <row r="69" ht="15.75" customHeight="1">
      <c r="A69" s="1"/>
      <c r="E69" s="1"/>
      <c r="F69" s="2"/>
      <c r="H69" s="3"/>
      <c r="I69" s="2"/>
      <c r="K69" s="4"/>
    </row>
    <row r="70" ht="15.75" customHeight="1">
      <c r="A70" s="1"/>
      <c r="E70" s="1"/>
      <c r="F70" s="2"/>
      <c r="H70" s="3"/>
      <c r="I70" s="2"/>
      <c r="K70" s="4"/>
    </row>
    <row r="71" ht="15.75" customHeight="1">
      <c r="A71" s="1"/>
      <c r="E71" s="1"/>
      <c r="F71" s="2"/>
      <c r="H71" s="3"/>
      <c r="I71" s="2"/>
      <c r="K71" s="4"/>
    </row>
    <row r="72" ht="15.75" customHeight="1">
      <c r="A72" s="1"/>
      <c r="E72" s="1"/>
      <c r="F72" s="2"/>
      <c r="H72" s="3"/>
      <c r="I72" s="2"/>
      <c r="K72" s="4"/>
    </row>
    <row r="73" ht="15.75" customHeight="1">
      <c r="A73" s="1"/>
      <c r="E73" s="1"/>
      <c r="F73" s="2"/>
      <c r="H73" s="3"/>
      <c r="I73" s="2"/>
      <c r="K73" s="4"/>
    </row>
    <row r="74" ht="15.75" customHeight="1">
      <c r="A74" s="1"/>
      <c r="E74" s="1"/>
      <c r="F74" s="2"/>
      <c r="H74" s="3"/>
      <c r="I74" s="2"/>
      <c r="K74" s="4"/>
    </row>
    <row r="75" ht="15.75" customHeight="1">
      <c r="A75" s="1"/>
      <c r="E75" s="1"/>
      <c r="F75" s="2"/>
      <c r="H75" s="3"/>
      <c r="I75" s="2"/>
      <c r="K75" s="4"/>
    </row>
    <row r="76" ht="15.75" customHeight="1">
      <c r="A76" s="1"/>
      <c r="E76" s="1"/>
      <c r="F76" s="2"/>
      <c r="H76" s="3"/>
      <c r="I76" s="2"/>
      <c r="K76" s="4"/>
    </row>
    <row r="77" ht="15.75" customHeight="1">
      <c r="A77" s="1"/>
      <c r="E77" s="1"/>
      <c r="F77" s="2"/>
      <c r="H77" s="3"/>
      <c r="I77" s="2"/>
      <c r="K77" s="4"/>
    </row>
    <row r="78" ht="15.75" customHeight="1">
      <c r="A78" s="1"/>
      <c r="E78" s="1"/>
      <c r="F78" s="2"/>
      <c r="H78" s="3"/>
      <c r="I78" s="2"/>
      <c r="K78" s="4"/>
    </row>
    <row r="79" ht="15.75" customHeight="1">
      <c r="A79" s="1"/>
      <c r="E79" s="1"/>
      <c r="F79" s="2"/>
      <c r="H79" s="3"/>
      <c r="I79" s="2"/>
      <c r="K79" s="4"/>
    </row>
    <row r="80" ht="15.75" customHeight="1">
      <c r="A80" s="1"/>
      <c r="E80" s="1"/>
      <c r="F80" s="2"/>
      <c r="H80" s="3"/>
      <c r="I80" s="2"/>
      <c r="K80" s="4"/>
    </row>
    <row r="81" ht="15.75" customHeight="1">
      <c r="A81" s="1"/>
      <c r="E81" s="1"/>
      <c r="F81" s="2"/>
      <c r="H81" s="3"/>
      <c r="I81" s="2"/>
      <c r="K81" s="4"/>
    </row>
    <row r="82" ht="15.75" customHeight="1">
      <c r="A82" s="1"/>
      <c r="E82" s="1"/>
      <c r="F82" s="2"/>
      <c r="H82" s="3"/>
      <c r="I82" s="2"/>
      <c r="K82" s="4"/>
    </row>
    <row r="83" ht="15.75" customHeight="1">
      <c r="A83" s="1"/>
      <c r="E83" s="1"/>
      <c r="F83" s="2"/>
      <c r="H83" s="3"/>
      <c r="I83" s="2"/>
      <c r="K83" s="4"/>
    </row>
    <row r="84" ht="15.75" customHeight="1">
      <c r="A84" s="1"/>
      <c r="E84" s="1"/>
      <c r="F84" s="2"/>
      <c r="H84" s="3"/>
      <c r="I84" s="2"/>
      <c r="K84" s="4"/>
    </row>
    <row r="85" ht="15.75" customHeight="1">
      <c r="A85" s="1"/>
      <c r="E85" s="1"/>
      <c r="F85" s="2"/>
      <c r="H85" s="3"/>
      <c r="I85" s="2"/>
      <c r="K85" s="4"/>
    </row>
    <row r="86" ht="15.75" customHeight="1">
      <c r="A86" s="1"/>
      <c r="E86" s="1"/>
      <c r="F86" s="2"/>
      <c r="H86" s="3"/>
      <c r="I86" s="2"/>
      <c r="K86" s="4"/>
    </row>
    <row r="87" ht="15.75" customHeight="1">
      <c r="A87" s="1"/>
      <c r="E87" s="1"/>
      <c r="F87" s="2"/>
      <c r="H87" s="3"/>
      <c r="I87" s="2"/>
      <c r="K87" s="4"/>
    </row>
    <row r="88" ht="15.75" customHeight="1">
      <c r="A88" s="1"/>
      <c r="E88" s="1"/>
      <c r="F88" s="2"/>
      <c r="H88" s="3"/>
      <c r="I88" s="2"/>
      <c r="K88" s="4"/>
    </row>
    <row r="89" ht="15.75" customHeight="1">
      <c r="A89" s="1"/>
      <c r="E89" s="1"/>
      <c r="F89" s="2"/>
      <c r="H89" s="3"/>
      <c r="I89" s="2"/>
      <c r="K89" s="4"/>
    </row>
    <row r="90" ht="15.75" customHeight="1">
      <c r="A90" s="1"/>
      <c r="E90" s="1"/>
      <c r="F90" s="2"/>
      <c r="H90" s="3"/>
      <c r="I90" s="2"/>
      <c r="K90" s="4"/>
    </row>
    <row r="91" ht="15.75" customHeight="1">
      <c r="A91" s="1"/>
      <c r="E91" s="1"/>
      <c r="F91" s="2"/>
      <c r="H91" s="3"/>
      <c r="I91" s="2"/>
      <c r="K91" s="4"/>
    </row>
    <row r="92" ht="15.75" customHeight="1">
      <c r="A92" s="1"/>
      <c r="E92" s="1"/>
      <c r="F92" s="2"/>
      <c r="H92" s="3"/>
      <c r="I92" s="2"/>
      <c r="K92" s="4"/>
    </row>
    <row r="93" ht="15.75" customHeight="1">
      <c r="A93" s="1"/>
      <c r="E93" s="1"/>
      <c r="F93" s="2"/>
      <c r="H93" s="3"/>
      <c r="I93" s="2"/>
      <c r="K93" s="4"/>
    </row>
    <row r="94" ht="15.75" customHeight="1">
      <c r="A94" s="1"/>
      <c r="E94" s="1"/>
      <c r="F94" s="2"/>
      <c r="H94" s="3"/>
      <c r="I94" s="2"/>
      <c r="K94" s="4"/>
    </row>
    <row r="95" ht="15.75" customHeight="1">
      <c r="A95" s="1"/>
      <c r="E95" s="1"/>
      <c r="F95" s="2"/>
      <c r="H95" s="3"/>
      <c r="I95" s="2"/>
      <c r="K95" s="4"/>
    </row>
    <row r="96" ht="15.75" customHeight="1">
      <c r="A96" s="1"/>
      <c r="E96" s="1"/>
      <c r="F96" s="2"/>
      <c r="H96" s="3"/>
      <c r="I96" s="2"/>
      <c r="K96" s="4"/>
    </row>
    <row r="97" ht="15.75" customHeight="1">
      <c r="A97" s="1"/>
      <c r="E97" s="1"/>
      <c r="F97" s="2"/>
      <c r="H97" s="3"/>
      <c r="I97" s="2"/>
      <c r="K97" s="4"/>
    </row>
    <row r="98" ht="15.75" customHeight="1">
      <c r="A98" s="1"/>
      <c r="E98" s="1"/>
      <c r="F98" s="2"/>
      <c r="H98" s="3"/>
      <c r="I98" s="2"/>
      <c r="K98" s="4"/>
    </row>
    <row r="99" ht="15.75" customHeight="1">
      <c r="A99" s="1"/>
      <c r="E99" s="1"/>
      <c r="F99" s="2"/>
      <c r="H99" s="3"/>
      <c r="I99" s="2"/>
      <c r="K99" s="4"/>
    </row>
    <row r="100" ht="15.75" customHeight="1">
      <c r="A100" s="1"/>
      <c r="E100" s="1"/>
      <c r="F100" s="2"/>
      <c r="H100" s="3"/>
      <c r="I100" s="2"/>
      <c r="K100" s="4"/>
    </row>
    <row r="101" ht="15.75" customHeight="1">
      <c r="A101" s="1"/>
      <c r="E101" s="1"/>
      <c r="F101" s="2"/>
      <c r="H101" s="3"/>
      <c r="I101" s="2"/>
      <c r="K101" s="4"/>
    </row>
    <row r="102" ht="15.75" customHeight="1">
      <c r="A102" s="1"/>
      <c r="E102" s="1"/>
      <c r="F102" s="2"/>
      <c r="H102" s="3"/>
      <c r="I102" s="2"/>
      <c r="K102" s="4"/>
    </row>
    <row r="103" ht="15.75" customHeight="1">
      <c r="A103" s="1"/>
      <c r="E103" s="1"/>
      <c r="F103" s="2"/>
      <c r="H103" s="3"/>
      <c r="I103" s="2"/>
      <c r="K103" s="4"/>
    </row>
    <row r="104" ht="15.75" customHeight="1">
      <c r="A104" s="1"/>
      <c r="E104" s="1"/>
      <c r="F104" s="2"/>
      <c r="H104" s="3"/>
      <c r="I104" s="2"/>
      <c r="K104" s="4"/>
    </row>
    <row r="105" ht="15.75" customHeight="1">
      <c r="A105" s="1"/>
      <c r="E105" s="1"/>
      <c r="F105" s="2"/>
      <c r="H105" s="3"/>
      <c r="I105" s="2"/>
      <c r="K105" s="4"/>
    </row>
    <row r="106" ht="15.75" customHeight="1">
      <c r="A106" s="1"/>
      <c r="E106" s="1"/>
      <c r="F106" s="2"/>
      <c r="H106" s="3"/>
      <c r="I106" s="2"/>
      <c r="K106" s="4"/>
    </row>
    <row r="107" ht="15.75" customHeight="1">
      <c r="A107" s="1"/>
      <c r="E107" s="1"/>
      <c r="F107" s="2"/>
      <c r="H107" s="3"/>
      <c r="I107" s="2"/>
      <c r="K107" s="4"/>
    </row>
    <row r="108" ht="15.75" customHeight="1">
      <c r="A108" s="1"/>
      <c r="E108" s="1"/>
      <c r="F108" s="2"/>
      <c r="H108" s="3"/>
      <c r="I108" s="2"/>
      <c r="K108" s="4"/>
    </row>
    <row r="109" ht="15.75" customHeight="1">
      <c r="A109" s="1"/>
      <c r="E109" s="1"/>
      <c r="F109" s="2"/>
      <c r="H109" s="3"/>
      <c r="I109" s="2"/>
      <c r="K109" s="4"/>
    </row>
    <row r="110" ht="15.75" customHeight="1">
      <c r="A110" s="1"/>
      <c r="E110" s="1"/>
      <c r="F110" s="2"/>
      <c r="H110" s="3"/>
      <c r="I110" s="2"/>
      <c r="K110" s="4"/>
    </row>
    <row r="111" ht="15.75" customHeight="1">
      <c r="A111" s="1"/>
      <c r="E111" s="1"/>
      <c r="F111" s="2"/>
      <c r="H111" s="3"/>
      <c r="I111" s="2"/>
      <c r="K111" s="4"/>
    </row>
    <row r="112" ht="15.75" customHeight="1">
      <c r="A112" s="1"/>
      <c r="E112" s="1"/>
      <c r="F112" s="2"/>
      <c r="H112" s="3"/>
      <c r="I112" s="2"/>
      <c r="K112" s="4"/>
    </row>
    <row r="113" ht="15.75" customHeight="1">
      <c r="A113" s="1"/>
      <c r="E113" s="1"/>
      <c r="F113" s="2"/>
      <c r="H113" s="3"/>
      <c r="I113" s="2"/>
      <c r="K113" s="4"/>
    </row>
    <row r="114" ht="15.75" customHeight="1">
      <c r="A114" s="1"/>
      <c r="E114" s="1"/>
      <c r="F114" s="2"/>
      <c r="H114" s="3"/>
      <c r="I114" s="2"/>
      <c r="K114" s="4"/>
    </row>
    <row r="115" ht="15.75" customHeight="1">
      <c r="A115" s="1"/>
      <c r="E115" s="1"/>
      <c r="F115" s="2"/>
      <c r="H115" s="3"/>
      <c r="I115" s="2"/>
      <c r="K115" s="4"/>
    </row>
    <row r="116" ht="15.75" customHeight="1">
      <c r="A116" s="1"/>
      <c r="E116" s="1"/>
      <c r="F116" s="2"/>
      <c r="H116" s="3"/>
      <c r="I116" s="2"/>
      <c r="K116" s="4"/>
    </row>
    <row r="117" ht="15.75" customHeight="1">
      <c r="A117" s="1"/>
      <c r="E117" s="1"/>
      <c r="F117" s="2"/>
      <c r="H117" s="3"/>
      <c r="I117" s="2"/>
      <c r="K117" s="4"/>
    </row>
    <row r="118" ht="15.75" customHeight="1">
      <c r="A118" s="1"/>
      <c r="E118" s="1"/>
      <c r="F118" s="2"/>
      <c r="H118" s="3"/>
      <c r="I118" s="2"/>
      <c r="K118" s="4"/>
    </row>
    <row r="119" ht="15.75" customHeight="1">
      <c r="A119" s="1"/>
      <c r="E119" s="1"/>
      <c r="F119" s="2"/>
      <c r="H119" s="3"/>
      <c r="I119" s="2"/>
      <c r="K119" s="4"/>
    </row>
    <row r="120" ht="15.75" customHeight="1">
      <c r="A120" s="1"/>
      <c r="E120" s="1"/>
      <c r="F120" s="2"/>
      <c r="H120" s="3"/>
      <c r="I120" s="2"/>
      <c r="K120" s="4"/>
    </row>
    <row r="121" ht="15.75" customHeight="1">
      <c r="A121" s="1"/>
      <c r="E121" s="1"/>
      <c r="F121" s="2"/>
      <c r="H121" s="3"/>
      <c r="I121" s="2"/>
      <c r="K121" s="4"/>
    </row>
    <row r="122" ht="15.75" customHeight="1">
      <c r="A122" s="1"/>
      <c r="E122" s="1"/>
      <c r="F122" s="2"/>
      <c r="H122" s="3"/>
      <c r="I122" s="2"/>
      <c r="K122" s="4"/>
    </row>
    <row r="123" ht="15.75" customHeight="1">
      <c r="A123" s="1"/>
      <c r="E123" s="1"/>
      <c r="F123" s="2"/>
      <c r="H123" s="3"/>
      <c r="I123" s="2"/>
      <c r="K123" s="4"/>
    </row>
    <row r="124" ht="15.75" customHeight="1">
      <c r="A124" s="1"/>
      <c r="E124" s="1"/>
      <c r="F124" s="2"/>
      <c r="H124" s="3"/>
      <c r="I124" s="2"/>
      <c r="K124" s="4"/>
    </row>
    <row r="125" ht="15.75" customHeight="1">
      <c r="A125" s="1"/>
      <c r="E125" s="1"/>
      <c r="F125" s="2"/>
      <c r="H125" s="3"/>
      <c r="I125" s="2"/>
      <c r="K125" s="4"/>
    </row>
    <row r="126" ht="15.75" customHeight="1">
      <c r="A126" s="1"/>
      <c r="E126" s="1"/>
      <c r="F126" s="2"/>
      <c r="H126" s="3"/>
      <c r="I126" s="2"/>
      <c r="K126" s="4"/>
    </row>
    <row r="127" ht="15.75" customHeight="1">
      <c r="A127" s="1"/>
      <c r="E127" s="1"/>
      <c r="F127" s="2"/>
      <c r="H127" s="3"/>
      <c r="I127" s="2"/>
      <c r="K127" s="4"/>
    </row>
    <row r="128" ht="15.75" customHeight="1">
      <c r="A128" s="1"/>
      <c r="E128" s="1"/>
      <c r="F128" s="2"/>
      <c r="H128" s="3"/>
      <c r="I128" s="2"/>
      <c r="K128" s="4"/>
    </row>
    <row r="129" ht="15.75" customHeight="1">
      <c r="A129" s="1"/>
      <c r="E129" s="1"/>
      <c r="F129" s="2"/>
      <c r="H129" s="3"/>
      <c r="I129" s="2"/>
      <c r="K129" s="4"/>
    </row>
    <row r="130" ht="15.75" customHeight="1">
      <c r="A130" s="1"/>
      <c r="E130" s="1"/>
      <c r="F130" s="2"/>
      <c r="H130" s="3"/>
      <c r="I130" s="2"/>
      <c r="K130" s="4"/>
    </row>
    <row r="131" ht="15.75" customHeight="1">
      <c r="A131" s="1"/>
      <c r="E131" s="1"/>
      <c r="F131" s="2"/>
      <c r="H131" s="3"/>
      <c r="I131" s="2"/>
      <c r="K131" s="4"/>
    </row>
    <row r="132" ht="15.75" customHeight="1">
      <c r="A132" s="1"/>
      <c r="E132" s="1"/>
      <c r="F132" s="2"/>
      <c r="H132" s="3"/>
      <c r="I132" s="2"/>
      <c r="K132" s="4"/>
    </row>
    <row r="133" ht="15.75" customHeight="1">
      <c r="A133" s="1"/>
      <c r="E133" s="1"/>
      <c r="F133" s="2"/>
      <c r="H133" s="3"/>
      <c r="I133" s="2"/>
      <c r="K133" s="4"/>
    </row>
    <row r="134" ht="15.75" customHeight="1">
      <c r="A134" s="1"/>
      <c r="E134" s="1"/>
      <c r="F134" s="2"/>
      <c r="H134" s="3"/>
      <c r="I134" s="2"/>
      <c r="K134" s="4"/>
    </row>
    <row r="135" ht="15.75" customHeight="1">
      <c r="A135" s="1"/>
      <c r="E135" s="1"/>
      <c r="F135" s="2"/>
      <c r="H135" s="3"/>
      <c r="I135" s="2"/>
      <c r="K135" s="4"/>
    </row>
    <row r="136" ht="15.75" customHeight="1">
      <c r="A136" s="1"/>
      <c r="E136" s="1"/>
      <c r="F136" s="2"/>
      <c r="H136" s="3"/>
      <c r="I136" s="2"/>
      <c r="K136" s="4"/>
    </row>
    <row r="137" ht="15.75" customHeight="1">
      <c r="A137" s="1"/>
      <c r="E137" s="1"/>
      <c r="F137" s="2"/>
      <c r="H137" s="3"/>
      <c r="I137" s="2"/>
      <c r="K137" s="4"/>
    </row>
    <row r="138" ht="15.75" customHeight="1">
      <c r="A138" s="1"/>
      <c r="E138" s="1"/>
      <c r="F138" s="2"/>
      <c r="H138" s="3"/>
      <c r="I138" s="2"/>
      <c r="K138" s="4"/>
    </row>
    <row r="139" ht="15.75" customHeight="1">
      <c r="A139" s="1"/>
      <c r="E139" s="1"/>
      <c r="F139" s="2"/>
      <c r="H139" s="3"/>
      <c r="I139" s="2"/>
      <c r="K139" s="4"/>
    </row>
    <row r="140" ht="15.75" customHeight="1">
      <c r="A140" s="1"/>
      <c r="E140" s="1"/>
      <c r="F140" s="2"/>
      <c r="H140" s="3"/>
      <c r="I140" s="2"/>
      <c r="K140" s="4"/>
    </row>
    <row r="141" ht="15.75" customHeight="1">
      <c r="A141" s="1"/>
      <c r="E141" s="1"/>
      <c r="F141" s="2"/>
      <c r="H141" s="3"/>
      <c r="I141" s="2"/>
      <c r="K141" s="4"/>
    </row>
    <row r="142" ht="15.75" customHeight="1">
      <c r="A142" s="1"/>
      <c r="E142" s="1"/>
      <c r="F142" s="2"/>
      <c r="H142" s="3"/>
      <c r="I142" s="2"/>
      <c r="K142" s="4"/>
    </row>
    <row r="143" ht="15.75" customHeight="1">
      <c r="A143" s="1"/>
      <c r="E143" s="1"/>
      <c r="F143" s="2"/>
      <c r="H143" s="3"/>
      <c r="I143" s="2"/>
      <c r="K143" s="4"/>
    </row>
    <row r="144" ht="15.75" customHeight="1">
      <c r="A144" s="1"/>
      <c r="E144" s="1"/>
      <c r="F144" s="2"/>
      <c r="H144" s="3"/>
      <c r="I144" s="2"/>
      <c r="K144" s="4"/>
    </row>
    <row r="145" ht="15.75" customHeight="1">
      <c r="A145" s="1"/>
      <c r="E145" s="1"/>
      <c r="F145" s="2"/>
      <c r="H145" s="3"/>
      <c r="I145" s="2"/>
      <c r="K145" s="4"/>
    </row>
    <row r="146" ht="15.75" customHeight="1">
      <c r="A146" s="1"/>
      <c r="E146" s="1"/>
      <c r="F146" s="2"/>
      <c r="H146" s="3"/>
      <c r="I146" s="2"/>
      <c r="K146" s="4"/>
    </row>
    <row r="147" ht="15.75" customHeight="1">
      <c r="A147" s="1"/>
      <c r="E147" s="1"/>
      <c r="F147" s="2"/>
      <c r="H147" s="3"/>
      <c r="I147" s="2"/>
      <c r="K147" s="4"/>
    </row>
    <row r="148" ht="15.75" customHeight="1">
      <c r="A148" s="1"/>
      <c r="E148" s="1"/>
      <c r="F148" s="2"/>
      <c r="H148" s="3"/>
      <c r="I148" s="2"/>
      <c r="K148" s="4"/>
    </row>
    <row r="149" ht="15.75" customHeight="1">
      <c r="A149" s="1"/>
      <c r="E149" s="1"/>
      <c r="F149" s="2"/>
      <c r="H149" s="3"/>
      <c r="I149" s="2"/>
      <c r="K149" s="4"/>
    </row>
    <row r="150" ht="15.75" customHeight="1">
      <c r="A150" s="1"/>
      <c r="E150" s="1"/>
      <c r="F150" s="2"/>
      <c r="H150" s="3"/>
      <c r="I150" s="2"/>
      <c r="K150" s="4"/>
    </row>
    <row r="151" ht="15.75" customHeight="1">
      <c r="A151" s="1"/>
      <c r="E151" s="1"/>
      <c r="F151" s="2"/>
      <c r="H151" s="3"/>
      <c r="I151" s="2"/>
      <c r="K151" s="4"/>
    </row>
    <row r="152" ht="15.75" customHeight="1">
      <c r="A152" s="1"/>
      <c r="E152" s="1"/>
      <c r="F152" s="2"/>
      <c r="H152" s="3"/>
      <c r="I152" s="2"/>
      <c r="K152" s="4"/>
    </row>
    <row r="153" ht="15.75" customHeight="1">
      <c r="A153" s="1"/>
      <c r="E153" s="1"/>
      <c r="F153" s="2"/>
      <c r="H153" s="3"/>
      <c r="I153" s="2"/>
      <c r="K153" s="4"/>
    </row>
    <row r="154" ht="15.75" customHeight="1">
      <c r="A154" s="1"/>
      <c r="E154" s="1"/>
      <c r="F154" s="2"/>
      <c r="H154" s="3"/>
      <c r="I154" s="2"/>
      <c r="K154" s="4"/>
    </row>
    <row r="155" ht="15.75" customHeight="1">
      <c r="A155" s="1"/>
      <c r="E155" s="1"/>
      <c r="F155" s="2"/>
      <c r="H155" s="3"/>
      <c r="I155" s="2"/>
      <c r="K155" s="4"/>
    </row>
    <row r="156" ht="15.75" customHeight="1">
      <c r="A156" s="1"/>
      <c r="E156" s="1"/>
      <c r="F156" s="2"/>
      <c r="H156" s="3"/>
      <c r="I156" s="2"/>
      <c r="K156" s="4"/>
    </row>
    <row r="157" ht="15.75" customHeight="1">
      <c r="A157" s="1"/>
      <c r="E157" s="1"/>
      <c r="F157" s="2"/>
      <c r="H157" s="3"/>
      <c r="I157" s="2"/>
      <c r="K157" s="4"/>
    </row>
    <row r="158" ht="15.75" customHeight="1">
      <c r="A158" s="1"/>
      <c r="E158" s="1"/>
      <c r="F158" s="2"/>
      <c r="H158" s="3"/>
      <c r="I158" s="2"/>
      <c r="K158" s="4"/>
    </row>
    <row r="159" ht="15.75" customHeight="1">
      <c r="A159" s="1"/>
      <c r="E159" s="1"/>
      <c r="F159" s="2"/>
      <c r="H159" s="3"/>
      <c r="I159" s="2"/>
      <c r="K159" s="4"/>
    </row>
    <row r="160" ht="15.75" customHeight="1">
      <c r="A160" s="1"/>
      <c r="E160" s="1"/>
      <c r="F160" s="2"/>
      <c r="H160" s="3"/>
      <c r="I160" s="2"/>
      <c r="K160" s="4"/>
    </row>
    <row r="161" ht="15.75" customHeight="1">
      <c r="A161" s="1"/>
      <c r="E161" s="1"/>
      <c r="F161" s="2"/>
      <c r="H161" s="3"/>
      <c r="I161" s="2"/>
      <c r="K161" s="4"/>
    </row>
    <row r="162" ht="15.75" customHeight="1">
      <c r="A162" s="1"/>
      <c r="E162" s="1"/>
      <c r="F162" s="2"/>
      <c r="H162" s="3"/>
      <c r="I162" s="2"/>
      <c r="K162" s="4"/>
    </row>
    <row r="163" ht="15.75" customHeight="1">
      <c r="A163" s="1"/>
      <c r="E163" s="1"/>
      <c r="F163" s="2"/>
      <c r="H163" s="3"/>
      <c r="I163" s="2"/>
      <c r="K163" s="4"/>
    </row>
    <row r="164" ht="15.75" customHeight="1">
      <c r="A164" s="1"/>
      <c r="E164" s="1"/>
      <c r="F164" s="2"/>
      <c r="H164" s="3"/>
      <c r="I164" s="2"/>
      <c r="K164" s="4"/>
    </row>
    <row r="165" ht="15.75" customHeight="1">
      <c r="A165" s="1"/>
      <c r="E165" s="1"/>
      <c r="F165" s="2"/>
      <c r="H165" s="3"/>
      <c r="I165" s="2"/>
      <c r="K165" s="4"/>
    </row>
    <row r="166" ht="15.75" customHeight="1">
      <c r="A166" s="1"/>
      <c r="E166" s="1"/>
      <c r="F166" s="2"/>
      <c r="H166" s="3"/>
      <c r="I166" s="2"/>
      <c r="K166" s="4"/>
    </row>
    <row r="167" ht="15.75" customHeight="1">
      <c r="A167" s="1"/>
      <c r="E167" s="1"/>
      <c r="F167" s="2"/>
      <c r="H167" s="3"/>
      <c r="I167" s="2"/>
      <c r="K167" s="4"/>
    </row>
    <row r="168" ht="15.75" customHeight="1">
      <c r="A168" s="1"/>
      <c r="E168" s="1"/>
      <c r="F168" s="2"/>
      <c r="H168" s="3"/>
      <c r="I168" s="2"/>
      <c r="K168" s="4"/>
    </row>
    <row r="169" ht="15.75" customHeight="1">
      <c r="A169" s="1"/>
      <c r="E169" s="1"/>
      <c r="F169" s="2"/>
      <c r="H169" s="3"/>
      <c r="I169" s="2"/>
      <c r="K169" s="4"/>
    </row>
    <row r="170" ht="15.75" customHeight="1">
      <c r="A170" s="1"/>
      <c r="E170" s="1"/>
      <c r="F170" s="2"/>
      <c r="H170" s="3"/>
      <c r="I170" s="2"/>
      <c r="K170" s="4"/>
    </row>
    <row r="171" ht="15.75" customHeight="1">
      <c r="A171" s="1"/>
      <c r="E171" s="1"/>
      <c r="F171" s="2"/>
      <c r="H171" s="3"/>
      <c r="I171" s="2"/>
      <c r="K171" s="4"/>
    </row>
    <row r="172" ht="15.75" customHeight="1">
      <c r="A172" s="1"/>
      <c r="E172" s="1"/>
      <c r="F172" s="2"/>
      <c r="H172" s="3"/>
      <c r="I172" s="2"/>
      <c r="K172" s="4"/>
    </row>
    <row r="173" ht="15.75" customHeight="1">
      <c r="A173" s="1"/>
      <c r="E173" s="1"/>
      <c r="F173" s="2"/>
      <c r="H173" s="3"/>
      <c r="I173" s="2"/>
      <c r="K173" s="4"/>
    </row>
    <row r="174" ht="15.75" customHeight="1">
      <c r="A174" s="1"/>
      <c r="E174" s="1"/>
      <c r="F174" s="2"/>
      <c r="H174" s="3"/>
      <c r="I174" s="2"/>
      <c r="K174" s="4"/>
    </row>
    <row r="175" ht="15.75" customHeight="1">
      <c r="A175" s="1"/>
      <c r="E175" s="1"/>
      <c r="F175" s="2"/>
      <c r="H175" s="3"/>
      <c r="I175" s="2"/>
      <c r="K175" s="4"/>
    </row>
    <row r="176" ht="15.75" customHeight="1">
      <c r="A176" s="1"/>
      <c r="E176" s="1"/>
      <c r="F176" s="2"/>
      <c r="H176" s="3"/>
      <c r="I176" s="2"/>
      <c r="K176" s="4"/>
    </row>
    <row r="177" ht="15.75" customHeight="1">
      <c r="A177" s="1"/>
      <c r="E177" s="1"/>
      <c r="F177" s="2"/>
      <c r="H177" s="3"/>
      <c r="I177" s="2"/>
      <c r="K177" s="4"/>
    </row>
    <row r="178" ht="15.75" customHeight="1">
      <c r="A178" s="1"/>
      <c r="E178" s="1"/>
      <c r="F178" s="2"/>
      <c r="H178" s="3"/>
      <c r="I178" s="2"/>
      <c r="K178" s="4"/>
    </row>
    <row r="179" ht="15.75" customHeight="1">
      <c r="A179" s="1"/>
      <c r="E179" s="1"/>
      <c r="F179" s="2"/>
      <c r="H179" s="3"/>
      <c r="I179" s="2"/>
      <c r="K179" s="4"/>
    </row>
    <row r="180" ht="15.75" customHeight="1">
      <c r="A180" s="1"/>
      <c r="E180" s="1"/>
      <c r="F180" s="2"/>
      <c r="H180" s="3"/>
      <c r="I180" s="2"/>
      <c r="K180" s="4"/>
    </row>
    <row r="181" ht="15.75" customHeight="1">
      <c r="A181" s="1"/>
      <c r="E181" s="1"/>
      <c r="F181" s="2"/>
      <c r="H181" s="3"/>
      <c r="I181" s="2"/>
      <c r="K181" s="4"/>
    </row>
    <row r="182" ht="15.75" customHeight="1">
      <c r="A182" s="1"/>
      <c r="E182" s="1"/>
      <c r="F182" s="2"/>
      <c r="H182" s="3"/>
      <c r="I182" s="2"/>
      <c r="K182" s="4"/>
    </row>
    <row r="183" ht="15.75" customHeight="1">
      <c r="A183" s="1"/>
      <c r="E183" s="1"/>
      <c r="F183" s="2"/>
      <c r="H183" s="3"/>
      <c r="I183" s="2"/>
      <c r="K183" s="4"/>
    </row>
    <row r="184" ht="15.75" customHeight="1">
      <c r="A184" s="1"/>
      <c r="E184" s="1"/>
      <c r="F184" s="2"/>
      <c r="H184" s="3"/>
      <c r="I184" s="2"/>
      <c r="K184" s="4"/>
    </row>
    <row r="185" ht="15.75" customHeight="1">
      <c r="A185" s="1"/>
      <c r="E185" s="1"/>
      <c r="F185" s="2"/>
      <c r="H185" s="3"/>
      <c r="I185" s="2"/>
      <c r="K185" s="4"/>
    </row>
    <row r="186" ht="15.75" customHeight="1">
      <c r="A186" s="1"/>
      <c r="E186" s="1"/>
      <c r="F186" s="2"/>
      <c r="H186" s="3"/>
      <c r="I186" s="2"/>
      <c r="K186" s="4"/>
    </row>
    <row r="187" ht="15.75" customHeight="1">
      <c r="A187" s="1"/>
      <c r="E187" s="1"/>
      <c r="F187" s="2"/>
      <c r="H187" s="3"/>
      <c r="I187" s="2"/>
      <c r="K187" s="4"/>
    </row>
    <row r="188" ht="15.75" customHeight="1">
      <c r="A188" s="1"/>
      <c r="E188" s="1"/>
      <c r="F188" s="2"/>
      <c r="H188" s="3"/>
      <c r="I188" s="2"/>
      <c r="K188" s="4"/>
    </row>
    <row r="189" ht="15.75" customHeight="1">
      <c r="A189" s="1"/>
      <c r="E189" s="1"/>
      <c r="F189" s="2"/>
      <c r="H189" s="3"/>
      <c r="I189" s="2"/>
      <c r="K189" s="4"/>
    </row>
    <row r="190" ht="15.75" customHeight="1">
      <c r="A190" s="1"/>
      <c r="E190" s="1"/>
      <c r="F190" s="2"/>
      <c r="H190" s="3"/>
      <c r="I190" s="2"/>
      <c r="K190" s="4"/>
    </row>
    <row r="191" ht="15.75" customHeight="1">
      <c r="A191" s="1"/>
      <c r="E191" s="1"/>
      <c r="F191" s="2"/>
      <c r="H191" s="3"/>
      <c r="I191" s="2"/>
      <c r="K191" s="4"/>
    </row>
    <row r="192" ht="15.75" customHeight="1">
      <c r="A192" s="1"/>
      <c r="E192" s="1"/>
      <c r="F192" s="2"/>
      <c r="H192" s="3"/>
      <c r="I192" s="2"/>
      <c r="K192" s="4"/>
    </row>
    <row r="193" ht="15.75" customHeight="1">
      <c r="A193" s="1"/>
      <c r="E193" s="1"/>
      <c r="F193" s="2"/>
      <c r="H193" s="3"/>
      <c r="I193" s="2"/>
      <c r="K193" s="4"/>
    </row>
    <row r="194" ht="15.75" customHeight="1">
      <c r="A194" s="1"/>
      <c r="E194" s="1"/>
      <c r="F194" s="2"/>
      <c r="H194" s="3"/>
      <c r="I194" s="2"/>
      <c r="K194" s="4"/>
    </row>
    <row r="195" ht="15.75" customHeight="1">
      <c r="A195" s="1"/>
      <c r="E195" s="1"/>
      <c r="F195" s="2"/>
      <c r="H195" s="3"/>
      <c r="I195" s="2"/>
      <c r="K195" s="4"/>
    </row>
    <row r="196" ht="15.75" customHeight="1">
      <c r="A196" s="1"/>
      <c r="E196" s="1"/>
      <c r="F196" s="2"/>
      <c r="H196" s="3"/>
      <c r="I196" s="2"/>
      <c r="K196" s="4"/>
    </row>
    <row r="197" ht="15.75" customHeight="1">
      <c r="A197" s="1"/>
      <c r="E197" s="1"/>
      <c r="F197" s="2"/>
      <c r="H197" s="3"/>
      <c r="I197" s="2"/>
      <c r="K197" s="4"/>
    </row>
    <row r="198" ht="15.75" customHeight="1">
      <c r="A198" s="1"/>
      <c r="E198" s="1"/>
      <c r="F198" s="2"/>
      <c r="H198" s="3"/>
      <c r="I198" s="2"/>
      <c r="K198" s="4"/>
    </row>
    <row r="199" ht="15.75" customHeight="1">
      <c r="A199" s="1"/>
      <c r="E199" s="1"/>
      <c r="F199" s="2"/>
      <c r="H199" s="3"/>
      <c r="I199" s="2"/>
      <c r="K199" s="4"/>
    </row>
    <row r="200" ht="15.75" customHeight="1">
      <c r="A200" s="1"/>
      <c r="E200" s="1"/>
      <c r="F200" s="2"/>
      <c r="H200" s="3"/>
      <c r="I200" s="2"/>
      <c r="K200" s="4"/>
    </row>
    <row r="201" ht="15.75" customHeight="1">
      <c r="A201" s="1"/>
      <c r="E201" s="1"/>
      <c r="F201" s="2"/>
      <c r="H201" s="3"/>
      <c r="I201" s="2"/>
      <c r="K201" s="4"/>
    </row>
    <row r="202" ht="15.75" customHeight="1">
      <c r="A202" s="1"/>
      <c r="E202" s="1"/>
      <c r="F202" s="2"/>
      <c r="H202" s="3"/>
      <c r="I202" s="2"/>
      <c r="K202" s="4"/>
    </row>
    <row r="203" ht="15.75" customHeight="1">
      <c r="A203" s="1"/>
      <c r="E203" s="1"/>
      <c r="F203" s="2"/>
      <c r="H203" s="3"/>
      <c r="I203" s="2"/>
      <c r="K203" s="4"/>
    </row>
    <row r="204" ht="15.75" customHeight="1">
      <c r="A204" s="1"/>
      <c r="E204" s="1"/>
      <c r="F204" s="2"/>
      <c r="H204" s="3"/>
      <c r="I204" s="2"/>
      <c r="K204" s="4"/>
    </row>
    <row r="205" ht="15.75" customHeight="1">
      <c r="A205" s="1"/>
      <c r="E205" s="1"/>
      <c r="F205" s="2"/>
      <c r="H205" s="3"/>
      <c r="I205" s="2"/>
      <c r="K205" s="4"/>
    </row>
    <row r="206" ht="15.75" customHeight="1">
      <c r="A206" s="1"/>
      <c r="E206" s="1"/>
      <c r="F206" s="2"/>
      <c r="H206" s="3"/>
      <c r="I206" s="2"/>
      <c r="K206" s="4"/>
    </row>
    <row r="207" ht="15.75" customHeight="1">
      <c r="A207" s="1"/>
      <c r="E207" s="1"/>
      <c r="F207" s="2"/>
      <c r="H207" s="3"/>
      <c r="I207" s="2"/>
      <c r="K207" s="4"/>
    </row>
    <row r="208" ht="15.75" customHeight="1">
      <c r="A208" s="1"/>
      <c r="E208" s="1"/>
      <c r="F208" s="2"/>
      <c r="H208" s="3"/>
      <c r="I208" s="2"/>
      <c r="K208" s="4"/>
    </row>
    <row r="209" ht="15.75" customHeight="1">
      <c r="A209" s="1"/>
      <c r="E209" s="1"/>
      <c r="F209" s="2"/>
      <c r="H209" s="3"/>
      <c r="I209" s="2"/>
      <c r="K209" s="4"/>
    </row>
    <row r="210" ht="15.75" customHeight="1">
      <c r="A210" s="1"/>
      <c r="E210" s="1"/>
      <c r="F210" s="2"/>
      <c r="H210" s="3"/>
      <c r="I210" s="2"/>
      <c r="K210" s="4"/>
    </row>
    <row r="211" ht="15.75" customHeight="1">
      <c r="A211" s="1"/>
      <c r="E211" s="1"/>
      <c r="F211" s="2"/>
      <c r="H211" s="3"/>
      <c r="I211" s="2"/>
      <c r="K211" s="4"/>
    </row>
    <row r="212" ht="15.75" customHeight="1">
      <c r="A212" s="1"/>
      <c r="E212" s="1"/>
      <c r="F212" s="2"/>
      <c r="H212" s="3"/>
      <c r="I212" s="2"/>
      <c r="K212" s="4"/>
    </row>
    <row r="213" ht="15.75" customHeight="1">
      <c r="A213" s="1"/>
      <c r="E213" s="1"/>
      <c r="F213" s="2"/>
      <c r="H213" s="3"/>
      <c r="I213" s="2"/>
      <c r="K213" s="4"/>
    </row>
    <row r="214" ht="15.75" customHeight="1">
      <c r="A214" s="1"/>
      <c r="E214" s="1"/>
      <c r="F214" s="2"/>
      <c r="H214" s="3"/>
      <c r="I214" s="2"/>
      <c r="K214" s="4"/>
    </row>
    <row r="215" ht="15.75" customHeight="1">
      <c r="A215" s="1"/>
      <c r="E215" s="1"/>
      <c r="F215" s="2"/>
      <c r="H215" s="3"/>
      <c r="I215" s="2"/>
      <c r="K215" s="4"/>
    </row>
    <row r="216" ht="15.75" customHeight="1">
      <c r="A216" s="1"/>
      <c r="E216" s="1"/>
      <c r="F216" s="2"/>
      <c r="H216" s="3"/>
      <c r="I216" s="2"/>
      <c r="K216" s="4"/>
    </row>
    <row r="217" ht="15.75" customHeight="1">
      <c r="A217" s="1"/>
      <c r="E217" s="1"/>
      <c r="F217" s="2"/>
      <c r="H217" s="3"/>
      <c r="I217" s="2"/>
      <c r="K217" s="4"/>
    </row>
    <row r="218" ht="15.75" customHeight="1">
      <c r="A218" s="1"/>
      <c r="E218" s="1"/>
      <c r="F218" s="2"/>
      <c r="H218" s="3"/>
      <c r="I218" s="2"/>
      <c r="K218" s="4"/>
    </row>
    <row r="219" ht="15.75" customHeight="1">
      <c r="A219" s="1"/>
      <c r="E219" s="1"/>
      <c r="F219" s="2"/>
      <c r="H219" s="3"/>
      <c r="I219" s="2"/>
      <c r="K219" s="4"/>
    </row>
    <row r="220" ht="15.75" customHeight="1">
      <c r="A220" s="1"/>
      <c r="E220" s="1"/>
      <c r="F220" s="2"/>
      <c r="H220" s="3"/>
      <c r="I220" s="2"/>
      <c r="K220" s="4"/>
    </row>
    <row r="221" ht="15.75" customHeight="1">
      <c r="A221" s="1"/>
      <c r="E221" s="1"/>
      <c r="F221" s="2"/>
      <c r="H221" s="3"/>
      <c r="I221" s="2"/>
      <c r="K221" s="4"/>
    </row>
    <row r="222" ht="15.75" customHeight="1">
      <c r="A222" s="1"/>
      <c r="E222" s="1"/>
      <c r="F222" s="2"/>
      <c r="H222" s="3"/>
      <c r="I222" s="2"/>
      <c r="K222" s="4"/>
    </row>
    <row r="223" ht="15.75" customHeight="1">
      <c r="A223" s="1"/>
      <c r="E223" s="1"/>
      <c r="F223" s="2"/>
      <c r="H223" s="3"/>
      <c r="I223" s="2"/>
      <c r="K223" s="4"/>
    </row>
    <row r="224" ht="15.75" customHeight="1">
      <c r="A224" s="1"/>
      <c r="E224" s="1"/>
      <c r="F224" s="2"/>
      <c r="H224" s="3"/>
      <c r="I224" s="2"/>
      <c r="K224" s="4"/>
    </row>
    <row r="225" ht="15.75" customHeight="1">
      <c r="A225" s="1"/>
      <c r="E225" s="1"/>
      <c r="F225" s="2"/>
      <c r="H225" s="3"/>
      <c r="I225" s="2"/>
      <c r="K225" s="4"/>
    </row>
    <row r="226" ht="15.75" customHeight="1">
      <c r="A226" s="1"/>
      <c r="E226" s="1"/>
      <c r="F226" s="2"/>
      <c r="H226" s="3"/>
      <c r="I226" s="2"/>
      <c r="K226" s="4"/>
    </row>
    <row r="227" ht="15.75" customHeight="1">
      <c r="A227" s="1"/>
      <c r="E227" s="1"/>
      <c r="F227" s="2"/>
      <c r="H227" s="3"/>
      <c r="I227" s="2"/>
      <c r="K227" s="4"/>
    </row>
    <row r="228" ht="15.75" customHeight="1">
      <c r="A228" s="1"/>
      <c r="E228" s="1"/>
      <c r="F228" s="2"/>
      <c r="H228" s="3"/>
      <c r="I228" s="2"/>
      <c r="K228" s="4"/>
    </row>
    <row r="229" ht="15.75" customHeight="1">
      <c r="A229" s="1"/>
      <c r="E229" s="1"/>
      <c r="F229" s="2"/>
      <c r="H229" s="3"/>
      <c r="I229" s="2"/>
      <c r="K229" s="4"/>
    </row>
    <row r="230" ht="15.75" customHeight="1">
      <c r="A230" s="1"/>
      <c r="E230" s="1"/>
      <c r="F230" s="2"/>
      <c r="H230" s="3"/>
      <c r="I230" s="2"/>
      <c r="K230" s="4"/>
    </row>
    <row r="231" ht="15.75" customHeight="1">
      <c r="A231" s="1"/>
      <c r="E231" s="1"/>
      <c r="F231" s="2"/>
      <c r="H231" s="3"/>
      <c r="I231" s="2"/>
      <c r="K231" s="4"/>
    </row>
    <row r="232" ht="15.75" customHeight="1">
      <c r="A232" s="1"/>
      <c r="E232" s="1"/>
      <c r="F232" s="2"/>
      <c r="H232" s="3"/>
      <c r="I232" s="2"/>
      <c r="K232" s="4"/>
    </row>
    <row r="233" ht="15.75" customHeight="1">
      <c r="A233" s="1"/>
      <c r="E233" s="1"/>
      <c r="F233" s="2"/>
      <c r="H233" s="3"/>
      <c r="I233" s="2"/>
      <c r="K233" s="4"/>
    </row>
    <row r="234" ht="15.75" customHeight="1">
      <c r="A234" s="1"/>
      <c r="E234" s="1"/>
      <c r="F234" s="2"/>
      <c r="H234" s="3"/>
      <c r="I234" s="2"/>
      <c r="K234" s="4"/>
    </row>
    <row r="235" ht="15.75" customHeight="1">
      <c r="A235" s="1"/>
      <c r="E235" s="1"/>
      <c r="F235" s="2"/>
      <c r="H235" s="3"/>
      <c r="I235" s="2"/>
      <c r="K235" s="4"/>
    </row>
    <row r="236" ht="15.75" customHeight="1">
      <c r="A236" s="1"/>
      <c r="E236" s="1"/>
      <c r="F236" s="2"/>
      <c r="H236" s="3"/>
      <c r="I236" s="2"/>
      <c r="K236" s="4"/>
    </row>
    <row r="237" ht="15.75" customHeight="1">
      <c r="A237" s="1"/>
      <c r="E237" s="1"/>
      <c r="F237" s="2"/>
      <c r="H237" s="3"/>
      <c r="I237" s="2"/>
      <c r="K237" s="4"/>
    </row>
    <row r="238" ht="15.75" customHeight="1">
      <c r="A238" s="1"/>
      <c r="E238" s="1"/>
      <c r="F238" s="2"/>
      <c r="H238" s="3"/>
      <c r="I238" s="2"/>
      <c r="K238" s="4"/>
    </row>
    <row r="239" ht="15.75" customHeight="1">
      <c r="A239" s="1"/>
      <c r="E239" s="1"/>
      <c r="F239" s="2"/>
      <c r="H239" s="3"/>
      <c r="I239" s="2"/>
      <c r="K239" s="4"/>
    </row>
    <row r="240" ht="15.75" customHeight="1">
      <c r="A240" s="1"/>
      <c r="E240" s="1"/>
      <c r="F240" s="2"/>
      <c r="H240" s="3"/>
      <c r="I240" s="2"/>
      <c r="K240" s="4"/>
    </row>
    <row r="241" ht="15.75" customHeight="1">
      <c r="A241" s="1"/>
      <c r="E241" s="1"/>
      <c r="F241" s="2"/>
      <c r="H241" s="3"/>
      <c r="I241" s="2"/>
      <c r="K241" s="4"/>
    </row>
    <row r="242" ht="15.75" customHeight="1">
      <c r="A242" s="1"/>
      <c r="E242" s="1"/>
      <c r="F242" s="2"/>
      <c r="H242" s="3"/>
      <c r="I242" s="2"/>
      <c r="K242" s="4"/>
    </row>
    <row r="243" ht="15.75" customHeight="1">
      <c r="A243" s="1"/>
      <c r="E243" s="1"/>
      <c r="F243" s="2"/>
      <c r="H243" s="3"/>
      <c r="I243" s="2"/>
      <c r="K243" s="4"/>
    </row>
    <row r="244" ht="15.75" customHeight="1">
      <c r="A244" s="1"/>
      <c r="E244" s="1"/>
      <c r="F244" s="2"/>
      <c r="H244" s="3"/>
      <c r="I244" s="2"/>
      <c r="K244" s="4"/>
    </row>
    <row r="245" ht="15.75" customHeight="1">
      <c r="A245" s="1"/>
      <c r="E245" s="1"/>
      <c r="F245" s="2"/>
      <c r="H245" s="3"/>
      <c r="I245" s="2"/>
      <c r="K245" s="4"/>
    </row>
    <row r="246" ht="15.75" customHeight="1">
      <c r="A246" s="1"/>
      <c r="E246" s="1"/>
      <c r="F246" s="2"/>
      <c r="H246" s="3"/>
      <c r="I246" s="2"/>
      <c r="K246" s="4"/>
    </row>
    <row r="247" ht="15.75" customHeight="1">
      <c r="A247" s="1"/>
      <c r="E247" s="1"/>
      <c r="F247" s="2"/>
      <c r="H247" s="3"/>
      <c r="I247" s="2"/>
      <c r="K247" s="4"/>
    </row>
    <row r="248" ht="15.75" customHeight="1">
      <c r="A248" s="1"/>
      <c r="E248" s="1"/>
      <c r="F248" s="2"/>
      <c r="H248" s="3"/>
      <c r="I248" s="2"/>
      <c r="K248" s="4"/>
    </row>
    <row r="249" ht="15.75" customHeight="1">
      <c r="A249" s="1"/>
      <c r="E249" s="1"/>
      <c r="F249" s="2"/>
      <c r="H249" s="3"/>
      <c r="I249" s="2"/>
      <c r="K249" s="4"/>
    </row>
    <row r="250" ht="15.75" customHeight="1">
      <c r="A250" s="1"/>
      <c r="E250" s="1"/>
      <c r="F250" s="2"/>
      <c r="H250" s="3"/>
      <c r="I250" s="2"/>
      <c r="K250" s="4"/>
    </row>
    <row r="251" ht="15.75" customHeight="1">
      <c r="A251" s="1"/>
      <c r="E251" s="1"/>
      <c r="F251" s="2"/>
      <c r="H251" s="3"/>
      <c r="I251" s="2"/>
      <c r="K251" s="4"/>
    </row>
    <row r="252" ht="15.75" customHeight="1">
      <c r="A252" s="1"/>
      <c r="E252" s="1"/>
      <c r="F252" s="2"/>
      <c r="H252" s="3"/>
      <c r="I252" s="2"/>
      <c r="K252" s="4"/>
    </row>
    <row r="253" ht="15.75" customHeight="1">
      <c r="A253" s="1"/>
      <c r="E253" s="1"/>
      <c r="F253" s="2"/>
      <c r="H253" s="3"/>
      <c r="I253" s="2"/>
      <c r="K253" s="4"/>
    </row>
    <row r="254" ht="15.75" customHeight="1">
      <c r="F254" s="84"/>
      <c r="I254" s="84"/>
    </row>
    <row r="255" ht="15.75" customHeight="1">
      <c r="F255" s="84"/>
      <c r="I255" s="84"/>
    </row>
    <row r="256" ht="15.75" customHeight="1">
      <c r="F256" s="84"/>
      <c r="I256" s="84"/>
    </row>
    <row r="257" ht="15.75" customHeight="1">
      <c r="F257" s="84"/>
      <c r="I257" s="84"/>
    </row>
    <row r="258" ht="15.75" customHeight="1">
      <c r="F258" s="84"/>
      <c r="I258" s="84"/>
    </row>
    <row r="259" ht="15.75" customHeight="1">
      <c r="F259" s="84"/>
      <c r="I259" s="84"/>
    </row>
    <row r="260" ht="15.75" customHeight="1">
      <c r="F260" s="84"/>
      <c r="I260" s="84"/>
    </row>
    <row r="261" ht="15.75" customHeight="1">
      <c r="F261" s="84"/>
      <c r="I261" s="84"/>
    </row>
    <row r="262" ht="15.75" customHeight="1">
      <c r="F262" s="84"/>
      <c r="I262" s="84"/>
    </row>
    <row r="263" ht="15.75" customHeight="1">
      <c r="F263" s="84"/>
      <c r="I263" s="84"/>
    </row>
    <row r="264" ht="15.75" customHeight="1">
      <c r="F264" s="84"/>
      <c r="I264" s="84"/>
    </row>
    <row r="265" ht="15.75" customHeight="1">
      <c r="F265" s="84"/>
      <c r="I265" s="84"/>
    </row>
    <row r="266" ht="15.75" customHeight="1">
      <c r="F266" s="84"/>
      <c r="I266" s="84"/>
    </row>
    <row r="267" ht="15.75" customHeight="1">
      <c r="F267" s="84"/>
      <c r="I267" s="84"/>
    </row>
    <row r="268" ht="15.75" customHeight="1">
      <c r="F268" s="84"/>
      <c r="I268" s="84"/>
    </row>
    <row r="269" ht="15.75" customHeight="1">
      <c r="F269" s="84"/>
      <c r="I269" s="84"/>
    </row>
    <row r="270" ht="15.75" customHeight="1">
      <c r="F270" s="84"/>
      <c r="I270" s="84"/>
    </row>
    <row r="271" ht="15.75" customHeight="1">
      <c r="F271" s="84"/>
      <c r="I271" s="84"/>
    </row>
    <row r="272" ht="15.75" customHeight="1">
      <c r="F272" s="84"/>
      <c r="I272" s="84"/>
    </row>
    <row r="273" ht="15.75" customHeight="1">
      <c r="F273" s="84"/>
      <c r="I273" s="84"/>
    </row>
    <row r="274" ht="15.75" customHeight="1">
      <c r="F274" s="84"/>
      <c r="I274" s="84"/>
    </row>
    <row r="275" ht="15.75" customHeight="1">
      <c r="F275" s="84"/>
      <c r="I275" s="84"/>
    </row>
    <row r="276" ht="15.75" customHeight="1">
      <c r="F276" s="84"/>
      <c r="I276" s="84"/>
    </row>
    <row r="277" ht="15.75" customHeight="1">
      <c r="F277" s="84"/>
      <c r="I277" s="84"/>
    </row>
    <row r="278" ht="15.75" customHeight="1">
      <c r="F278" s="84"/>
      <c r="I278" s="84"/>
    </row>
    <row r="279" ht="15.75" customHeight="1">
      <c r="F279" s="84"/>
      <c r="I279" s="84"/>
    </row>
    <row r="280" ht="15.75" customHeight="1">
      <c r="F280" s="84"/>
      <c r="I280" s="84"/>
    </row>
    <row r="281" ht="15.75" customHeight="1">
      <c r="F281" s="84"/>
      <c r="I281" s="84"/>
    </row>
    <row r="282" ht="15.75" customHeight="1">
      <c r="F282" s="84"/>
      <c r="I282" s="84"/>
    </row>
    <row r="283" ht="15.75" customHeight="1">
      <c r="F283" s="84"/>
      <c r="I283" s="84"/>
    </row>
    <row r="284" ht="15.75" customHeight="1">
      <c r="F284" s="84"/>
      <c r="I284" s="84"/>
    </row>
    <row r="285" ht="15.75" customHeight="1">
      <c r="F285" s="84"/>
      <c r="I285" s="84"/>
    </row>
    <row r="286" ht="15.75" customHeight="1">
      <c r="F286" s="84"/>
      <c r="I286" s="84"/>
    </row>
    <row r="287" ht="15.75" customHeight="1">
      <c r="F287" s="84"/>
      <c r="I287" s="84"/>
    </row>
    <row r="288" ht="15.75" customHeight="1">
      <c r="F288" s="84"/>
      <c r="I288" s="84"/>
    </row>
    <row r="289" ht="15.75" customHeight="1">
      <c r="F289" s="84"/>
      <c r="I289" s="84"/>
    </row>
    <row r="290" ht="15.75" customHeight="1">
      <c r="F290" s="84"/>
      <c r="I290" s="84"/>
    </row>
    <row r="291" ht="15.75" customHeight="1">
      <c r="F291" s="84"/>
      <c r="I291" s="84"/>
    </row>
    <row r="292" ht="15.75" customHeight="1">
      <c r="F292" s="84"/>
      <c r="I292" s="84"/>
    </row>
    <row r="293" ht="15.75" customHeight="1">
      <c r="F293" s="84"/>
      <c r="I293" s="84"/>
    </row>
    <row r="294" ht="15.75" customHeight="1">
      <c r="F294" s="84"/>
      <c r="I294" s="84"/>
    </row>
    <row r="295" ht="15.75" customHeight="1">
      <c r="F295" s="84"/>
      <c r="I295" s="84"/>
    </row>
    <row r="296" ht="15.75" customHeight="1">
      <c r="F296" s="84"/>
      <c r="I296" s="84"/>
    </row>
    <row r="297" ht="15.75" customHeight="1">
      <c r="F297" s="84"/>
      <c r="I297" s="84"/>
    </row>
    <row r="298" ht="15.75" customHeight="1">
      <c r="F298" s="84"/>
      <c r="I298" s="84"/>
    </row>
    <row r="299" ht="15.75" customHeight="1">
      <c r="F299" s="84"/>
      <c r="I299" s="84"/>
    </row>
    <row r="300" ht="15.75" customHeight="1">
      <c r="F300" s="84"/>
      <c r="I300" s="84"/>
    </row>
    <row r="301" ht="15.75" customHeight="1">
      <c r="F301" s="84"/>
      <c r="I301" s="84"/>
    </row>
    <row r="302" ht="15.75" customHeight="1">
      <c r="F302" s="84"/>
      <c r="I302" s="84"/>
    </row>
    <row r="303" ht="15.75" customHeight="1">
      <c r="F303" s="84"/>
      <c r="I303" s="84"/>
    </row>
    <row r="304" ht="15.75" customHeight="1">
      <c r="F304" s="84"/>
      <c r="I304" s="84"/>
    </row>
    <row r="305" ht="15.75" customHeight="1">
      <c r="F305" s="84"/>
      <c r="I305" s="84"/>
    </row>
    <row r="306" ht="15.75" customHeight="1">
      <c r="F306" s="84"/>
      <c r="I306" s="84"/>
    </row>
    <row r="307" ht="15.75" customHeight="1">
      <c r="F307" s="84"/>
      <c r="I307" s="84"/>
    </row>
    <row r="308" ht="15.75" customHeight="1">
      <c r="F308" s="84"/>
      <c r="I308" s="84"/>
    </row>
    <row r="309" ht="15.75" customHeight="1">
      <c r="F309" s="84"/>
      <c r="I309" s="84"/>
    </row>
    <row r="310" ht="15.75" customHeight="1">
      <c r="F310" s="84"/>
      <c r="I310" s="84"/>
    </row>
    <row r="311" ht="15.75" customHeight="1">
      <c r="F311" s="84"/>
      <c r="I311" s="84"/>
    </row>
    <row r="312" ht="15.75" customHeight="1">
      <c r="F312" s="84"/>
      <c r="I312" s="84"/>
    </row>
    <row r="313" ht="15.75" customHeight="1">
      <c r="F313" s="84"/>
      <c r="I313" s="84"/>
    </row>
    <row r="314" ht="15.75" customHeight="1">
      <c r="F314" s="84"/>
      <c r="I314" s="84"/>
    </row>
    <row r="315" ht="15.75" customHeight="1">
      <c r="F315" s="84"/>
      <c r="I315" s="84"/>
    </row>
    <row r="316" ht="15.75" customHeight="1">
      <c r="F316" s="84"/>
      <c r="I316" s="84"/>
    </row>
    <row r="317" ht="15.75" customHeight="1">
      <c r="F317" s="84"/>
      <c r="I317" s="84"/>
    </row>
    <row r="318" ht="15.75" customHeight="1">
      <c r="F318" s="84"/>
      <c r="I318" s="84"/>
    </row>
    <row r="319" ht="15.75" customHeight="1">
      <c r="F319" s="84"/>
      <c r="I319" s="84"/>
    </row>
    <row r="320" ht="15.75" customHeight="1">
      <c r="F320" s="84"/>
      <c r="I320" s="84"/>
    </row>
    <row r="321" ht="15.75" customHeight="1">
      <c r="F321" s="84"/>
      <c r="I321" s="84"/>
    </row>
    <row r="322" ht="15.75" customHeight="1">
      <c r="F322" s="84"/>
      <c r="I322" s="84"/>
    </row>
    <row r="323" ht="15.75" customHeight="1">
      <c r="F323" s="84"/>
      <c r="I323" s="84"/>
    </row>
    <row r="324" ht="15.75" customHeight="1">
      <c r="F324" s="84"/>
      <c r="I324" s="84"/>
    </row>
    <row r="325" ht="15.75" customHeight="1">
      <c r="F325" s="84"/>
      <c r="I325" s="84"/>
    </row>
    <row r="326" ht="15.75" customHeight="1">
      <c r="F326" s="84"/>
      <c r="I326" s="84"/>
    </row>
    <row r="327" ht="15.75" customHeight="1">
      <c r="F327" s="84"/>
      <c r="I327" s="84"/>
    </row>
    <row r="328" ht="15.75" customHeight="1">
      <c r="F328" s="84"/>
      <c r="I328" s="84"/>
    </row>
    <row r="329" ht="15.75" customHeight="1">
      <c r="F329" s="84"/>
      <c r="I329" s="84"/>
    </row>
    <row r="330" ht="15.75" customHeight="1">
      <c r="F330" s="84"/>
      <c r="I330" s="84"/>
    </row>
    <row r="331" ht="15.75" customHeight="1">
      <c r="F331" s="84"/>
      <c r="I331" s="84"/>
    </row>
    <row r="332" ht="15.75" customHeight="1">
      <c r="F332" s="84"/>
      <c r="I332" s="84"/>
    </row>
    <row r="333" ht="15.75" customHeight="1">
      <c r="F333" s="84"/>
      <c r="I333" s="84"/>
    </row>
    <row r="334" ht="15.75" customHeight="1">
      <c r="F334" s="84"/>
      <c r="I334" s="84"/>
    </row>
    <row r="335" ht="15.75" customHeight="1">
      <c r="F335" s="84"/>
      <c r="I335" s="84"/>
    </row>
    <row r="336" ht="15.75" customHeight="1">
      <c r="F336" s="84"/>
      <c r="I336" s="84"/>
    </row>
    <row r="337" ht="15.75" customHeight="1">
      <c r="F337" s="84"/>
      <c r="I337" s="84"/>
    </row>
    <row r="338" ht="15.75" customHeight="1">
      <c r="F338" s="84"/>
      <c r="I338" s="84"/>
    </row>
    <row r="339" ht="15.75" customHeight="1">
      <c r="F339" s="84"/>
      <c r="I339" s="84"/>
    </row>
    <row r="340" ht="15.75" customHeight="1">
      <c r="F340" s="84"/>
      <c r="I340" s="84"/>
    </row>
    <row r="341" ht="15.75" customHeight="1">
      <c r="F341" s="84"/>
      <c r="I341" s="84"/>
    </row>
    <row r="342" ht="15.75" customHeight="1">
      <c r="F342" s="84"/>
      <c r="I342" s="84"/>
    </row>
    <row r="343" ht="15.75" customHeight="1">
      <c r="F343" s="84"/>
      <c r="I343" s="84"/>
    </row>
    <row r="344" ht="15.75" customHeight="1">
      <c r="F344" s="84"/>
      <c r="I344" s="84"/>
    </row>
    <row r="345" ht="15.75" customHeight="1">
      <c r="F345" s="84"/>
      <c r="I345" s="84"/>
    </row>
    <row r="346" ht="15.75" customHeight="1">
      <c r="F346" s="84"/>
      <c r="I346" s="84"/>
    </row>
    <row r="347" ht="15.75" customHeight="1">
      <c r="F347" s="84"/>
      <c r="I347" s="84"/>
    </row>
    <row r="348" ht="15.75" customHeight="1">
      <c r="F348" s="84"/>
      <c r="I348" s="84"/>
    </row>
    <row r="349" ht="15.75" customHeight="1">
      <c r="F349" s="84"/>
      <c r="I349" s="84"/>
    </row>
    <row r="350" ht="15.75" customHeight="1">
      <c r="F350" s="84"/>
      <c r="I350" s="84"/>
    </row>
    <row r="351" ht="15.75" customHeight="1">
      <c r="F351" s="84"/>
      <c r="I351" s="84"/>
    </row>
    <row r="352" ht="15.75" customHeight="1">
      <c r="F352" s="84"/>
      <c r="I352" s="84"/>
    </row>
    <row r="353" ht="15.75" customHeight="1">
      <c r="F353" s="84"/>
      <c r="I353" s="84"/>
    </row>
    <row r="354" ht="15.75" customHeight="1">
      <c r="F354" s="84"/>
      <c r="I354" s="84"/>
    </row>
    <row r="355" ht="15.75" customHeight="1">
      <c r="F355" s="84"/>
      <c r="I355" s="84"/>
    </row>
    <row r="356" ht="15.75" customHeight="1">
      <c r="F356" s="84"/>
      <c r="I356" s="84"/>
    </row>
    <row r="357" ht="15.75" customHeight="1">
      <c r="F357" s="84"/>
      <c r="I357" s="84"/>
    </row>
    <row r="358" ht="15.75" customHeight="1">
      <c r="F358" s="84"/>
      <c r="I358" s="84"/>
    </row>
    <row r="359" ht="15.75" customHeight="1">
      <c r="F359" s="84"/>
      <c r="I359" s="84"/>
    </row>
    <row r="360" ht="15.75" customHeight="1">
      <c r="F360" s="84"/>
      <c r="I360" s="84"/>
    </row>
    <row r="361" ht="15.75" customHeight="1">
      <c r="F361" s="84"/>
      <c r="I361" s="84"/>
    </row>
    <row r="362" ht="15.75" customHeight="1">
      <c r="F362" s="84"/>
      <c r="I362" s="84"/>
    </row>
    <row r="363" ht="15.75" customHeight="1">
      <c r="F363" s="84"/>
      <c r="I363" s="84"/>
    </row>
    <row r="364" ht="15.75" customHeight="1">
      <c r="F364" s="84"/>
      <c r="I364" s="84"/>
    </row>
    <row r="365" ht="15.75" customHeight="1">
      <c r="F365" s="84"/>
      <c r="I365" s="84"/>
    </row>
    <row r="366" ht="15.75" customHeight="1">
      <c r="F366" s="84"/>
      <c r="I366" s="84"/>
    </row>
    <row r="367" ht="15.75" customHeight="1">
      <c r="F367" s="84"/>
      <c r="I367" s="84"/>
    </row>
    <row r="368" ht="15.75" customHeight="1">
      <c r="F368" s="84"/>
      <c r="I368" s="84"/>
    </row>
    <row r="369" ht="15.75" customHeight="1">
      <c r="F369" s="84"/>
      <c r="I369" s="84"/>
    </row>
    <row r="370" ht="15.75" customHeight="1">
      <c r="F370" s="84"/>
      <c r="I370" s="84"/>
    </row>
    <row r="371" ht="15.75" customHeight="1">
      <c r="F371" s="84"/>
      <c r="I371" s="84"/>
    </row>
    <row r="372" ht="15.75" customHeight="1">
      <c r="F372" s="84"/>
      <c r="I372" s="84"/>
    </row>
    <row r="373" ht="15.75" customHeight="1">
      <c r="F373" s="84"/>
      <c r="I373" s="84"/>
    </row>
    <row r="374" ht="15.75" customHeight="1">
      <c r="F374" s="84"/>
      <c r="I374" s="84"/>
    </row>
    <row r="375" ht="15.75" customHeight="1">
      <c r="F375" s="84"/>
      <c r="I375" s="84"/>
    </row>
    <row r="376" ht="15.75" customHeight="1">
      <c r="F376" s="84"/>
      <c r="I376" s="84"/>
    </row>
    <row r="377" ht="15.75" customHeight="1">
      <c r="F377" s="84"/>
      <c r="I377" s="84"/>
    </row>
    <row r="378" ht="15.75" customHeight="1">
      <c r="F378" s="84"/>
      <c r="I378" s="84"/>
    </row>
    <row r="379" ht="15.75" customHeight="1">
      <c r="F379" s="84"/>
      <c r="I379" s="84"/>
    </row>
    <row r="380" ht="15.75" customHeight="1">
      <c r="F380" s="84"/>
      <c r="I380" s="84"/>
    </row>
    <row r="381" ht="15.75" customHeight="1">
      <c r="F381" s="84"/>
      <c r="I381" s="84"/>
    </row>
    <row r="382" ht="15.75" customHeight="1">
      <c r="F382" s="84"/>
      <c r="I382" s="84"/>
    </row>
    <row r="383" ht="15.75" customHeight="1">
      <c r="F383" s="84"/>
      <c r="I383" s="84"/>
    </row>
    <row r="384" ht="15.75" customHeight="1">
      <c r="F384" s="84"/>
      <c r="I384" s="84"/>
    </row>
    <row r="385" ht="15.75" customHeight="1">
      <c r="F385" s="84"/>
      <c r="I385" s="84"/>
    </row>
    <row r="386" ht="15.75" customHeight="1">
      <c r="F386" s="84"/>
      <c r="I386" s="84"/>
    </row>
    <row r="387" ht="15.75" customHeight="1">
      <c r="F387" s="84"/>
      <c r="I387" s="84"/>
    </row>
    <row r="388" ht="15.75" customHeight="1">
      <c r="F388" s="84"/>
      <c r="I388" s="84"/>
    </row>
    <row r="389" ht="15.75" customHeight="1">
      <c r="F389" s="84"/>
      <c r="I389" s="84"/>
    </row>
    <row r="390" ht="15.75" customHeight="1">
      <c r="F390" s="84"/>
      <c r="I390" s="84"/>
    </row>
    <row r="391" ht="15.75" customHeight="1">
      <c r="F391" s="84"/>
      <c r="I391" s="84"/>
    </row>
    <row r="392" ht="15.75" customHeight="1">
      <c r="F392" s="84"/>
      <c r="I392" s="84"/>
    </row>
    <row r="393" ht="15.75" customHeight="1">
      <c r="F393" s="84"/>
      <c r="I393" s="84"/>
    </row>
    <row r="394" ht="15.75" customHeight="1">
      <c r="F394" s="84"/>
      <c r="I394" s="84"/>
    </row>
    <row r="395" ht="15.75" customHeight="1">
      <c r="F395" s="84"/>
      <c r="I395" s="84"/>
    </row>
    <row r="396" ht="15.75" customHeight="1">
      <c r="F396" s="84"/>
      <c r="I396" s="84"/>
    </row>
    <row r="397" ht="15.75" customHeight="1">
      <c r="F397" s="84"/>
      <c r="I397" s="84"/>
    </row>
    <row r="398" ht="15.75" customHeight="1">
      <c r="F398" s="84"/>
      <c r="I398" s="84"/>
    </row>
    <row r="399" ht="15.75" customHeight="1">
      <c r="F399" s="84"/>
      <c r="I399" s="84"/>
    </row>
    <row r="400" ht="15.75" customHeight="1">
      <c r="F400" s="84"/>
      <c r="I400" s="84"/>
    </row>
    <row r="401" ht="15.75" customHeight="1">
      <c r="F401" s="84"/>
      <c r="I401" s="84"/>
    </row>
    <row r="402" ht="15.75" customHeight="1">
      <c r="F402" s="84"/>
      <c r="I402" s="84"/>
    </row>
    <row r="403" ht="15.75" customHeight="1">
      <c r="F403" s="84"/>
      <c r="I403" s="84"/>
    </row>
    <row r="404" ht="15.75" customHeight="1">
      <c r="F404" s="84"/>
      <c r="I404" s="84"/>
    </row>
    <row r="405" ht="15.75" customHeight="1">
      <c r="F405" s="84"/>
      <c r="I405" s="84"/>
    </row>
    <row r="406" ht="15.75" customHeight="1">
      <c r="F406" s="84"/>
      <c r="I406" s="84"/>
    </row>
    <row r="407" ht="15.75" customHeight="1">
      <c r="F407" s="84"/>
      <c r="I407" s="84"/>
    </row>
    <row r="408" ht="15.75" customHeight="1">
      <c r="F408" s="84"/>
      <c r="I408" s="84"/>
    </row>
    <row r="409" ht="15.75" customHeight="1">
      <c r="F409" s="84"/>
      <c r="I409" s="84"/>
    </row>
    <row r="410" ht="15.75" customHeight="1">
      <c r="F410" s="84"/>
      <c r="I410" s="84"/>
    </row>
    <row r="411" ht="15.75" customHeight="1">
      <c r="F411" s="84"/>
      <c r="I411" s="84"/>
    </row>
    <row r="412" ht="15.75" customHeight="1">
      <c r="F412" s="84"/>
      <c r="I412" s="84"/>
    </row>
    <row r="413" ht="15.75" customHeight="1">
      <c r="F413" s="84"/>
      <c r="I413" s="84"/>
    </row>
    <row r="414" ht="15.75" customHeight="1">
      <c r="F414" s="84"/>
      <c r="I414" s="84"/>
    </row>
    <row r="415" ht="15.75" customHeight="1">
      <c r="F415" s="84"/>
      <c r="I415" s="84"/>
    </row>
    <row r="416" ht="15.75" customHeight="1">
      <c r="F416" s="84"/>
      <c r="I416" s="84"/>
    </row>
    <row r="417" ht="15.75" customHeight="1">
      <c r="F417" s="84"/>
      <c r="I417" s="84"/>
    </row>
    <row r="418" ht="15.75" customHeight="1">
      <c r="F418" s="84"/>
      <c r="I418" s="84"/>
    </row>
    <row r="419" ht="15.75" customHeight="1">
      <c r="F419" s="84"/>
      <c r="I419" s="84"/>
    </row>
    <row r="420" ht="15.75" customHeight="1">
      <c r="F420" s="84"/>
      <c r="I420" s="84"/>
    </row>
    <row r="421" ht="15.75" customHeight="1">
      <c r="F421" s="84"/>
      <c r="I421" s="84"/>
    </row>
    <row r="422" ht="15.75" customHeight="1">
      <c r="F422" s="84"/>
      <c r="I422" s="84"/>
    </row>
    <row r="423" ht="15.75" customHeight="1">
      <c r="F423" s="84"/>
      <c r="I423" s="84"/>
    </row>
    <row r="424" ht="15.75" customHeight="1">
      <c r="F424" s="84"/>
      <c r="I424" s="84"/>
    </row>
    <row r="425" ht="15.75" customHeight="1">
      <c r="F425" s="84"/>
      <c r="I425" s="84"/>
    </row>
    <row r="426" ht="15.75" customHeight="1">
      <c r="F426" s="84"/>
      <c r="I426" s="84"/>
    </row>
    <row r="427" ht="15.75" customHeight="1">
      <c r="F427" s="84"/>
      <c r="I427" s="84"/>
    </row>
    <row r="428" ht="15.75" customHeight="1">
      <c r="F428" s="84"/>
      <c r="I428" s="84"/>
    </row>
    <row r="429" ht="15.75" customHeight="1">
      <c r="F429" s="84"/>
      <c r="I429" s="84"/>
    </row>
    <row r="430" ht="15.75" customHeight="1">
      <c r="F430" s="84"/>
      <c r="I430" s="84"/>
    </row>
    <row r="431" ht="15.75" customHeight="1">
      <c r="F431" s="84"/>
      <c r="I431" s="84"/>
    </row>
    <row r="432" ht="15.75" customHeight="1">
      <c r="F432" s="84"/>
      <c r="I432" s="84"/>
    </row>
    <row r="433" ht="15.75" customHeight="1">
      <c r="F433" s="84"/>
      <c r="I433" s="84"/>
    </row>
    <row r="434" ht="15.75" customHeight="1">
      <c r="F434" s="84"/>
      <c r="I434" s="84"/>
    </row>
    <row r="435" ht="15.75" customHeight="1">
      <c r="F435" s="84"/>
      <c r="I435" s="84"/>
    </row>
    <row r="436" ht="15.75" customHeight="1">
      <c r="F436" s="84"/>
      <c r="I436" s="84"/>
    </row>
    <row r="437" ht="15.75" customHeight="1">
      <c r="F437" s="84"/>
      <c r="I437" s="84"/>
    </row>
    <row r="438" ht="15.75" customHeight="1">
      <c r="F438" s="84"/>
      <c r="I438" s="84"/>
    </row>
    <row r="439" ht="15.75" customHeight="1">
      <c r="F439" s="84"/>
      <c r="I439" s="84"/>
    </row>
    <row r="440" ht="15.75" customHeight="1">
      <c r="F440" s="84"/>
      <c r="I440" s="84"/>
    </row>
    <row r="441" ht="15.75" customHeight="1">
      <c r="F441" s="84"/>
      <c r="I441" s="84"/>
    </row>
    <row r="442" ht="15.75" customHeight="1">
      <c r="F442" s="84"/>
      <c r="I442" s="84"/>
    </row>
    <row r="443" ht="15.75" customHeight="1">
      <c r="F443" s="84"/>
      <c r="I443" s="84"/>
    </row>
    <row r="444" ht="15.75" customHeight="1">
      <c r="F444" s="84"/>
      <c r="I444" s="84"/>
    </row>
    <row r="445" ht="15.75" customHeight="1">
      <c r="F445" s="84"/>
      <c r="I445" s="84"/>
    </row>
    <row r="446" ht="15.75" customHeight="1">
      <c r="F446" s="84"/>
      <c r="I446" s="84"/>
    </row>
    <row r="447" ht="15.75" customHeight="1">
      <c r="F447" s="84"/>
      <c r="I447" s="84"/>
    </row>
    <row r="448" ht="15.75" customHeight="1">
      <c r="F448" s="84"/>
      <c r="I448" s="84"/>
    </row>
    <row r="449" ht="15.75" customHeight="1">
      <c r="F449" s="84"/>
      <c r="I449" s="84"/>
    </row>
    <row r="450" ht="15.75" customHeight="1">
      <c r="F450" s="84"/>
      <c r="I450" s="84"/>
    </row>
    <row r="451" ht="15.75" customHeight="1">
      <c r="F451" s="84"/>
      <c r="I451" s="84"/>
    </row>
    <row r="452" ht="15.75" customHeight="1">
      <c r="F452" s="84"/>
      <c r="I452" s="84"/>
    </row>
    <row r="453" ht="15.75" customHeight="1">
      <c r="F453" s="84"/>
      <c r="I453" s="84"/>
    </row>
    <row r="454" ht="15.75" customHeight="1">
      <c r="F454" s="84"/>
      <c r="I454" s="84"/>
    </row>
    <row r="455" ht="15.75" customHeight="1">
      <c r="F455" s="84"/>
      <c r="I455" s="84"/>
    </row>
    <row r="456" ht="15.75" customHeight="1">
      <c r="F456" s="84"/>
      <c r="I456" s="84"/>
    </row>
    <row r="457" ht="15.75" customHeight="1">
      <c r="F457" s="84"/>
      <c r="I457" s="84"/>
    </row>
    <row r="458" ht="15.75" customHeight="1">
      <c r="F458" s="84"/>
      <c r="I458" s="84"/>
    </row>
    <row r="459" ht="15.75" customHeight="1">
      <c r="F459" s="84"/>
      <c r="I459" s="84"/>
    </row>
    <row r="460" ht="15.75" customHeight="1">
      <c r="F460" s="84"/>
      <c r="I460" s="84"/>
    </row>
    <row r="461" ht="15.75" customHeight="1">
      <c r="F461" s="84"/>
      <c r="I461" s="84"/>
    </row>
    <row r="462" ht="15.75" customHeight="1">
      <c r="F462" s="84"/>
      <c r="I462" s="84"/>
    </row>
    <row r="463" ht="15.75" customHeight="1">
      <c r="F463" s="84"/>
      <c r="I463" s="84"/>
    </row>
    <row r="464" ht="15.75" customHeight="1">
      <c r="F464" s="84"/>
      <c r="I464" s="84"/>
    </row>
    <row r="465" ht="15.75" customHeight="1">
      <c r="F465" s="84"/>
      <c r="I465" s="84"/>
    </row>
    <row r="466" ht="15.75" customHeight="1">
      <c r="F466" s="84"/>
      <c r="I466" s="84"/>
    </row>
    <row r="467" ht="15.75" customHeight="1">
      <c r="F467" s="84"/>
      <c r="I467" s="84"/>
    </row>
    <row r="468" ht="15.75" customHeight="1">
      <c r="F468" s="84"/>
      <c r="I468" s="84"/>
    </row>
    <row r="469" ht="15.75" customHeight="1">
      <c r="F469" s="84"/>
      <c r="I469" s="84"/>
    </row>
    <row r="470" ht="15.75" customHeight="1">
      <c r="F470" s="84"/>
      <c r="I470" s="84"/>
    </row>
    <row r="471" ht="15.75" customHeight="1">
      <c r="F471" s="84"/>
      <c r="I471" s="84"/>
    </row>
    <row r="472" ht="15.75" customHeight="1">
      <c r="F472" s="84"/>
      <c r="I472" s="84"/>
    </row>
    <row r="473" ht="15.75" customHeight="1">
      <c r="F473" s="84"/>
      <c r="I473" s="84"/>
    </row>
    <row r="474" ht="15.75" customHeight="1">
      <c r="F474" s="84"/>
      <c r="I474" s="84"/>
    </row>
    <row r="475" ht="15.75" customHeight="1">
      <c r="F475" s="84"/>
      <c r="I475" s="84"/>
    </row>
    <row r="476" ht="15.75" customHeight="1">
      <c r="F476" s="84"/>
      <c r="I476" s="84"/>
    </row>
    <row r="477" ht="15.75" customHeight="1">
      <c r="F477" s="84"/>
      <c r="I477" s="84"/>
    </row>
    <row r="478" ht="15.75" customHeight="1">
      <c r="F478" s="84"/>
      <c r="I478" s="84"/>
    </row>
    <row r="479" ht="15.75" customHeight="1">
      <c r="F479" s="84"/>
      <c r="I479" s="84"/>
    </row>
    <row r="480" ht="15.75" customHeight="1">
      <c r="F480" s="84"/>
      <c r="I480" s="84"/>
    </row>
    <row r="481" ht="15.75" customHeight="1">
      <c r="F481" s="84"/>
      <c r="I481" s="84"/>
    </row>
    <row r="482" ht="15.75" customHeight="1">
      <c r="F482" s="84"/>
      <c r="I482" s="84"/>
    </row>
    <row r="483" ht="15.75" customHeight="1">
      <c r="F483" s="84"/>
      <c r="I483" s="84"/>
    </row>
    <row r="484" ht="15.75" customHeight="1">
      <c r="F484" s="84"/>
      <c r="I484" s="84"/>
    </row>
    <row r="485" ht="15.75" customHeight="1">
      <c r="F485" s="84"/>
      <c r="I485" s="84"/>
    </row>
    <row r="486" ht="15.75" customHeight="1">
      <c r="F486" s="84"/>
      <c r="I486" s="84"/>
    </row>
    <row r="487" ht="15.75" customHeight="1">
      <c r="F487" s="84"/>
      <c r="I487" s="84"/>
    </row>
    <row r="488" ht="15.75" customHeight="1">
      <c r="F488" s="84"/>
      <c r="I488" s="84"/>
    </row>
    <row r="489" ht="15.75" customHeight="1">
      <c r="F489" s="84"/>
      <c r="I489" s="84"/>
    </row>
    <row r="490" ht="15.75" customHeight="1">
      <c r="F490" s="84"/>
      <c r="I490" s="84"/>
    </row>
    <row r="491" ht="15.75" customHeight="1">
      <c r="F491" s="84"/>
      <c r="I491" s="84"/>
    </row>
    <row r="492" ht="15.75" customHeight="1">
      <c r="F492" s="84"/>
      <c r="I492" s="84"/>
    </row>
    <row r="493" ht="15.75" customHeight="1">
      <c r="F493" s="84"/>
      <c r="I493" s="84"/>
    </row>
    <row r="494" ht="15.75" customHeight="1">
      <c r="F494" s="84"/>
      <c r="I494" s="84"/>
    </row>
    <row r="495" ht="15.75" customHeight="1">
      <c r="F495" s="84"/>
      <c r="I495" s="84"/>
    </row>
    <row r="496" ht="15.75" customHeight="1">
      <c r="F496" s="84"/>
      <c r="I496" s="84"/>
    </row>
    <row r="497" ht="15.75" customHeight="1">
      <c r="F497" s="84"/>
      <c r="I497" s="84"/>
    </row>
    <row r="498" ht="15.75" customHeight="1">
      <c r="F498" s="84"/>
      <c r="I498" s="84"/>
    </row>
    <row r="499" ht="15.75" customHeight="1">
      <c r="F499" s="84"/>
      <c r="I499" s="84"/>
    </row>
    <row r="500" ht="15.75" customHeight="1">
      <c r="F500" s="84"/>
      <c r="I500" s="84"/>
    </row>
    <row r="501" ht="15.75" customHeight="1">
      <c r="F501" s="84"/>
      <c r="I501" s="84"/>
    </row>
    <row r="502" ht="15.75" customHeight="1">
      <c r="F502" s="84"/>
      <c r="I502" s="84"/>
    </row>
    <row r="503" ht="15.75" customHeight="1">
      <c r="F503" s="84"/>
      <c r="I503" s="84"/>
    </row>
    <row r="504" ht="15.75" customHeight="1">
      <c r="F504" s="84"/>
      <c r="I504" s="84"/>
    </row>
    <row r="505" ht="15.75" customHeight="1">
      <c r="F505" s="84"/>
      <c r="I505" s="84"/>
    </row>
    <row r="506" ht="15.75" customHeight="1">
      <c r="F506" s="84"/>
      <c r="I506" s="84"/>
    </row>
    <row r="507" ht="15.75" customHeight="1">
      <c r="F507" s="84"/>
      <c r="I507" s="84"/>
    </row>
    <row r="508" ht="15.75" customHeight="1">
      <c r="F508" s="84"/>
      <c r="I508" s="84"/>
    </row>
    <row r="509" ht="15.75" customHeight="1">
      <c r="F509" s="84"/>
      <c r="I509" s="84"/>
    </row>
    <row r="510" ht="15.75" customHeight="1">
      <c r="F510" s="84"/>
      <c r="I510" s="84"/>
    </row>
    <row r="511" ht="15.75" customHeight="1">
      <c r="F511" s="84"/>
      <c r="I511" s="84"/>
    </row>
    <row r="512" ht="15.75" customHeight="1">
      <c r="F512" s="84"/>
      <c r="I512" s="84"/>
    </row>
    <row r="513" ht="15.75" customHeight="1">
      <c r="F513" s="84"/>
      <c r="I513" s="84"/>
    </row>
    <row r="514" ht="15.75" customHeight="1">
      <c r="F514" s="84"/>
      <c r="I514" s="84"/>
    </row>
    <row r="515" ht="15.75" customHeight="1">
      <c r="F515" s="84"/>
      <c r="I515" s="84"/>
    </row>
    <row r="516" ht="15.75" customHeight="1">
      <c r="F516" s="84"/>
      <c r="I516" s="84"/>
    </row>
    <row r="517" ht="15.75" customHeight="1">
      <c r="F517" s="84"/>
      <c r="I517" s="84"/>
    </row>
    <row r="518" ht="15.75" customHeight="1">
      <c r="F518" s="84"/>
      <c r="I518" s="84"/>
    </row>
    <row r="519" ht="15.75" customHeight="1">
      <c r="F519" s="84"/>
      <c r="I519" s="84"/>
    </row>
    <row r="520" ht="15.75" customHeight="1">
      <c r="F520" s="84"/>
      <c r="I520" s="84"/>
    </row>
    <row r="521" ht="15.75" customHeight="1">
      <c r="F521" s="84"/>
      <c r="I521" s="84"/>
    </row>
    <row r="522" ht="15.75" customHeight="1">
      <c r="F522" s="84"/>
      <c r="I522" s="84"/>
    </row>
    <row r="523" ht="15.75" customHeight="1">
      <c r="F523" s="84"/>
      <c r="I523" s="84"/>
    </row>
    <row r="524" ht="15.75" customHeight="1">
      <c r="F524" s="84"/>
      <c r="I524" s="84"/>
    </row>
    <row r="525" ht="15.75" customHeight="1">
      <c r="F525" s="84"/>
      <c r="I525" s="84"/>
    </row>
    <row r="526" ht="15.75" customHeight="1">
      <c r="F526" s="84"/>
      <c r="I526" s="84"/>
    </row>
    <row r="527" ht="15.75" customHeight="1">
      <c r="F527" s="84"/>
      <c r="I527" s="84"/>
    </row>
    <row r="528" ht="15.75" customHeight="1">
      <c r="F528" s="84"/>
      <c r="I528" s="84"/>
    </row>
    <row r="529" ht="15.75" customHeight="1">
      <c r="F529" s="84"/>
      <c r="I529" s="84"/>
    </row>
    <row r="530" ht="15.75" customHeight="1">
      <c r="F530" s="84"/>
      <c r="I530" s="84"/>
    </row>
    <row r="531" ht="15.75" customHeight="1">
      <c r="F531" s="84"/>
      <c r="I531" s="84"/>
    </row>
    <row r="532" ht="15.75" customHeight="1">
      <c r="F532" s="84"/>
      <c r="I532" s="84"/>
    </row>
    <row r="533" ht="15.75" customHeight="1">
      <c r="F533" s="84"/>
      <c r="I533" s="84"/>
    </row>
    <row r="534" ht="15.75" customHeight="1">
      <c r="F534" s="84"/>
      <c r="I534" s="84"/>
    </row>
    <row r="535" ht="15.75" customHeight="1">
      <c r="F535" s="84"/>
      <c r="I535" s="84"/>
    </row>
    <row r="536" ht="15.75" customHeight="1">
      <c r="F536" s="84"/>
      <c r="I536" s="84"/>
    </row>
    <row r="537" ht="15.75" customHeight="1">
      <c r="F537" s="84"/>
      <c r="I537" s="84"/>
    </row>
    <row r="538" ht="15.75" customHeight="1">
      <c r="F538" s="84"/>
      <c r="I538" s="84"/>
    </row>
    <row r="539" ht="15.75" customHeight="1">
      <c r="F539" s="84"/>
      <c r="I539" s="84"/>
    </row>
    <row r="540" ht="15.75" customHeight="1">
      <c r="F540" s="84"/>
      <c r="I540" s="84"/>
    </row>
    <row r="541" ht="15.75" customHeight="1">
      <c r="F541" s="84"/>
      <c r="I541" s="84"/>
    </row>
    <row r="542" ht="15.75" customHeight="1">
      <c r="F542" s="84"/>
      <c r="I542" s="84"/>
    </row>
    <row r="543" ht="15.75" customHeight="1">
      <c r="F543" s="84"/>
      <c r="I543" s="84"/>
    </row>
    <row r="544" ht="15.75" customHeight="1">
      <c r="F544" s="84"/>
      <c r="I544" s="84"/>
    </row>
    <row r="545" ht="15.75" customHeight="1">
      <c r="F545" s="84"/>
      <c r="I545" s="84"/>
    </row>
    <row r="546" ht="15.75" customHeight="1">
      <c r="F546" s="84"/>
      <c r="I546" s="84"/>
    </row>
    <row r="547" ht="15.75" customHeight="1">
      <c r="F547" s="84"/>
      <c r="I547" s="84"/>
    </row>
    <row r="548" ht="15.75" customHeight="1">
      <c r="F548" s="84"/>
      <c r="I548" s="84"/>
    </row>
    <row r="549" ht="15.75" customHeight="1">
      <c r="F549" s="84"/>
      <c r="I549" s="84"/>
    </row>
    <row r="550" ht="15.75" customHeight="1">
      <c r="F550" s="84"/>
      <c r="I550" s="84"/>
    </row>
    <row r="551" ht="15.75" customHeight="1">
      <c r="F551" s="84"/>
      <c r="I551" s="84"/>
    </row>
    <row r="552" ht="15.75" customHeight="1">
      <c r="F552" s="84"/>
      <c r="I552" s="84"/>
    </row>
    <row r="553" ht="15.75" customHeight="1">
      <c r="F553" s="84"/>
      <c r="I553" s="84"/>
    </row>
    <row r="554" ht="15.75" customHeight="1">
      <c r="F554" s="84"/>
      <c r="I554" s="84"/>
    </row>
    <row r="555" ht="15.75" customHeight="1">
      <c r="F555" s="84"/>
      <c r="I555" s="84"/>
    </row>
    <row r="556" ht="15.75" customHeight="1">
      <c r="F556" s="84"/>
      <c r="I556" s="84"/>
    </row>
    <row r="557" ht="15.75" customHeight="1">
      <c r="F557" s="84"/>
      <c r="I557" s="84"/>
    </row>
    <row r="558" ht="15.75" customHeight="1">
      <c r="F558" s="84"/>
      <c r="I558" s="84"/>
    </row>
    <row r="559" ht="15.75" customHeight="1">
      <c r="F559" s="84"/>
      <c r="I559" s="84"/>
    </row>
    <row r="560" ht="15.75" customHeight="1">
      <c r="F560" s="84"/>
      <c r="I560" s="84"/>
    </row>
    <row r="561" ht="15.75" customHeight="1">
      <c r="F561" s="84"/>
      <c r="I561" s="84"/>
    </row>
    <row r="562" ht="15.75" customHeight="1">
      <c r="F562" s="84"/>
      <c r="I562" s="84"/>
    </row>
    <row r="563" ht="15.75" customHeight="1">
      <c r="F563" s="84"/>
      <c r="I563" s="84"/>
    </row>
    <row r="564" ht="15.75" customHeight="1">
      <c r="F564" s="84"/>
      <c r="I564" s="84"/>
    </row>
    <row r="565" ht="15.75" customHeight="1">
      <c r="F565" s="84"/>
      <c r="I565" s="84"/>
    </row>
    <row r="566" ht="15.75" customHeight="1">
      <c r="F566" s="84"/>
      <c r="I566" s="84"/>
    </row>
    <row r="567" ht="15.75" customHeight="1">
      <c r="F567" s="84"/>
      <c r="I567" s="84"/>
    </row>
    <row r="568" ht="15.75" customHeight="1">
      <c r="F568" s="84"/>
      <c r="I568" s="84"/>
    </row>
    <row r="569" ht="15.75" customHeight="1">
      <c r="F569" s="84"/>
      <c r="I569" s="84"/>
    </row>
    <row r="570" ht="15.75" customHeight="1">
      <c r="F570" s="84"/>
      <c r="I570" s="84"/>
    </row>
    <row r="571" ht="15.75" customHeight="1">
      <c r="F571" s="84"/>
      <c r="I571" s="84"/>
    </row>
    <row r="572" ht="15.75" customHeight="1">
      <c r="F572" s="84"/>
      <c r="I572" s="84"/>
    </row>
    <row r="573" ht="15.75" customHeight="1">
      <c r="F573" s="84"/>
      <c r="I573" s="84"/>
    </row>
    <row r="574" ht="15.75" customHeight="1">
      <c r="F574" s="84"/>
      <c r="I574" s="84"/>
    </row>
    <row r="575" ht="15.75" customHeight="1">
      <c r="F575" s="84"/>
      <c r="I575" s="84"/>
    </row>
    <row r="576" ht="15.75" customHeight="1">
      <c r="F576" s="84"/>
      <c r="I576" s="84"/>
    </row>
    <row r="577" ht="15.75" customHeight="1">
      <c r="F577" s="84"/>
      <c r="I577" s="84"/>
    </row>
    <row r="578" ht="15.75" customHeight="1">
      <c r="F578" s="84"/>
      <c r="I578" s="84"/>
    </row>
    <row r="579" ht="15.75" customHeight="1">
      <c r="F579" s="84"/>
      <c r="I579" s="84"/>
    </row>
    <row r="580" ht="15.75" customHeight="1">
      <c r="F580" s="84"/>
      <c r="I580" s="84"/>
    </row>
    <row r="581" ht="15.75" customHeight="1">
      <c r="F581" s="84"/>
      <c r="I581" s="84"/>
    </row>
    <row r="582" ht="15.75" customHeight="1">
      <c r="F582" s="84"/>
      <c r="I582" s="84"/>
    </row>
    <row r="583" ht="15.75" customHeight="1">
      <c r="F583" s="84"/>
      <c r="I583" s="84"/>
    </row>
    <row r="584" ht="15.75" customHeight="1">
      <c r="F584" s="84"/>
      <c r="I584" s="84"/>
    </row>
    <row r="585" ht="15.75" customHeight="1">
      <c r="F585" s="84"/>
      <c r="I585" s="84"/>
    </row>
    <row r="586" ht="15.75" customHeight="1">
      <c r="F586" s="84"/>
      <c r="I586" s="84"/>
    </row>
    <row r="587" ht="15.75" customHeight="1">
      <c r="F587" s="84"/>
      <c r="I587" s="84"/>
    </row>
    <row r="588" ht="15.75" customHeight="1">
      <c r="F588" s="84"/>
      <c r="I588" s="84"/>
    </row>
    <row r="589" ht="15.75" customHeight="1">
      <c r="F589" s="84"/>
      <c r="I589" s="84"/>
    </row>
    <row r="590" ht="15.75" customHeight="1">
      <c r="F590" s="84"/>
      <c r="I590" s="84"/>
    </row>
    <row r="591" ht="15.75" customHeight="1">
      <c r="F591" s="84"/>
      <c r="I591" s="84"/>
    </row>
    <row r="592" ht="15.75" customHeight="1">
      <c r="F592" s="84"/>
      <c r="I592" s="84"/>
    </row>
    <row r="593" ht="15.75" customHeight="1">
      <c r="F593" s="84"/>
      <c r="I593" s="84"/>
    </row>
    <row r="594" ht="15.75" customHeight="1">
      <c r="F594" s="84"/>
      <c r="I594" s="84"/>
    </row>
    <row r="595" ht="15.75" customHeight="1">
      <c r="F595" s="84"/>
      <c r="I595" s="84"/>
    </row>
    <row r="596" ht="15.75" customHeight="1">
      <c r="F596" s="84"/>
      <c r="I596" s="84"/>
    </row>
    <row r="597" ht="15.75" customHeight="1">
      <c r="F597" s="84"/>
      <c r="I597" s="84"/>
    </row>
    <row r="598" ht="15.75" customHeight="1">
      <c r="F598" s="84"/>
      <c r="I598" s="84"/>
    </row>
    <row r="599" ht="15.75" customHeight="1">
      <c r="F599" s="84"/>
      <c r="I599" s="84"/>
    </row>
    <row r="600" ht="15.75" customHeight="1">
      <c r="F600" s="84"/>
      <c r="I600" s="84"/>
    </row>
    <row r="601" ht="15.75" customHeight="1">
      <c r="F601" s="84"/>
      <c r="I601" s="84"/>
    </row>
    <row r="602" ht="15.75" customHeight="1">
      <c r="F602" s="84"/>
      <c r="I602" s="84"/>
    </row>
    <row r="603" ht="15.75" customHeight="1">
      <c r="F603" s="84"/>
      <c r="I603" s="84"/>
    </row>
    <row r="604" ht="15.75" customHeight="1">
      <c r="F604" s="84"/>
      <c r="I604" s="84"/>
    </row>
    <row r="605" ht="15.75" customHeight="1">
      <c r="F605" s="84"/>
      <c r="I605" s="84"/>
    </row>
    <row r="606" ht="15.75" customHeight="1">
      <c r="F606" s="84"/>
      <c r="I606" s="84"/>
    </row>
    <row r="607" ht="15.75" customHeight="1">
      <c r="F607" s="84"/>
      <c r="I607" s="84"/>
    </row>
    <row r="608" ht="15.75" customHeight="1">
      <c r="F608" s="84"/>
      <c r="I608" s="84"/>
    </row>
    <row r="609" ht="15.75" customHeight="1">
      <c r="F609" s="84"/>
      <c r="I609" s="84"/>
    </row>
    <row r="610" ht="15.75" customHeight="1">
      <c r="F610" s="84"/>
      <c r="I610" s="84"/>
    </row>
    <row r="611" ht="15.75" customHeight="1">
      <c r="F611" s="84"/>
      <c r="I611" s="84"/>
    </row>
    <row r="612" ht="15.75" customHeight="1">
      <c r="F612" s="84"/>
      <c r="I612" s="84"/>
    </row>
    <row r="613" ht="15.75" customHeight="1">
      <c r="F613" s="84"/>
      <c r="I613" s="84"/>
    </row>
    <row r="614" ht="15.75" customHeight="1">
      <c r="F614" s="84"/>
      <c r="I614" s="84"/>
    </row>
    <row r="615" ht="15.75" customHeight="1">
      <c r="F615" s="84"/>
      <c r="I615" s="84"/>
    </row>
    <row r="616" ht="15.75" customHeight="1">
      <c r="F616" s="84"/>
      <c r="I616" s="84"/>
    </row>
    <row r="617" ht="15.75" customHeight="1">
      <c r="F617" s="84"/>
      <c r="I617" s="84"/>
    </row>
    <row r="618" ht="15.75" customHeight="1">
      <c r="F618" s="84"/>
      <c r="I618" s="84"/>
    </row>
    <row r="619" ht="15.75" customHeight="1">
      <c r="F619" s="84"/>
      <c r="I619" s="84"/>
    </row>
    <row r="620" ht="15.75" customHeight="1">
      <c r="F620" s="84"/>
      <c r="I620" s="84"/>
    </row>
    <row r="621" ht="15.75" customHeight="1">
      <c r="F621" s="84"/>
      <c r="I621" s="84"/>
    </row>
    <row r="622" ht="15.75" customHeight="1">
      <c r="F622" s="84"/>
      <c r="I622" s="84"/>
    </row>
    <row r="623" ht="15.75" customHeight="1">
      <c r="F623" s="84"/>
      <c r="I623" s="84"/>
    </row>
    <row r="624" ht="15.75" customHeight="1">
      <c r="F624" s="84"/>
      <c r="I624" s="84"/>
    </row>
    <row r="625" ht="15.75" customHeight="1">
      <c r="F625" s="84"/>
      <c r="I625" s="84"/>
    </row>
    <row r="626" ht="15.75" customHeight="1">
      <c r="F626" s="84"/>
      <c r="I626" s="84"/>
    </row>
    <row r="627" ht="15.75" customHeight="1">
      <c r="F627" s="84"/>
      <c r="I627" s="84"/>
    </row>
    <row r="628" ht="15.75" customHeight="1">
      <c r="F628" s="84"/>
      <c r="I628" s="84"/>
    </row>
    <row r="629" ht="15.75" customHeight="1">
      <c r="F629" s="84"/>
      <c r="I629" s="84"/>
    </row>
    <row r="630" ht="15.75" customHeight="1">
      <c r="F630" s="84"/>
      <c r="I630" s="84"/>
    </row>
    <row r="631" ht="15.75" customHeight="1">
      <c r="F631" s="84"/>
      <c r="I631" s="84"/>
    </row>
    <row r="632" ht="15.75" customHeight="1">
      <c r="F632" s="84"/>
      <c r="I632" s="84"/>
    </row>
    <row r="633" ht="15.75" customHeight="1">
      <c r="F633" s="84"/>
      <c r="I633" s="84"/>
    </row>
    <row r="634" ht="15.75" customHeight="1">
      <c r="F634" s="84"/>
      <c r="I634" s="84"/>
    </row>
    <row r="635" ht="15.75" customHeight="1">
      <c r="F635" s="84"/>
      <c r="I635" s="84"/>
    </row>
    <row r="636" ht="15.75" customHeight="1">
      <c r="F636" s="84"/>
      <c r="I636" s="84"/>
    </row>
    <row r="637" ht="15.75" customHeight="1">
      <c r="F637" s="84"/>
      <c r="I637" s="84"/>
    </row>
    <row r="638" ht="15.75" customHeight="1">
      <c r="F638" s="84"/>
      <c r="I638" s="84"/>
    </row>
    <row r="639" ht="15.75" customHeight="1">
      <c r="F639" s="84"/>
      <c r="I639" s="84"/>
    </row>
    <row r="640" ht="15.75" customHeight="1">
      <c r="F640" s="84"/>
      <c r="I640" s="84"/>
    </row>
    <row r="641" ht="15.75" customHeight="1">
      <c r="F641" s="84"/>
      <c r="I641" s="84"/>
    </row>
    <row r="642" ht="15.75" customHeight="1">
      <c r="F642" s="84"/>
      <c r="I642" s="84"/>
    </row>
    <row r="643" ht="15.75" customHeight="1">
      <c r="F643" s="84"/>
      <c r="I643" s="84"/>
    </row>
    <row r="644" ht="15.75" customHeight="1">
      <c r="F644" s="84"/>
      <c r="I644" s="84"/>
    </row>
    <row r="645" ht="15.75" customHeight="1">
      <c r="F645" s="84"/>
      <c r="I645" s="84"/>
    </row>
    <row r="646" ht="15.75" customHeight="1">
      <c r="F646" s="84"/>
      <c r="I646" s="84"/>
    </row>
    <row r="647" ht="15.75" customHeight="1">
      <c r="F647" s="84"/>
      <c r="I647" s="84"/>
    </row>
    <row r="648" ht="15.75" customHeight="1">
      <c r="F648" s="84"/>
      <c r="I648" s="84"/>
    </row>
    <row r="649" ht="15.75" customHeight="1">
      <c r="F649" s="84"/>
      <c r="I649" s="84"/>
    </row>
    <row r="650" ht="15.75" customHeight="1">
      <c r="F650" s="84"/>
      <c r="I650" s="84"/>
    </row>
    <row r="651" ht="15.75" customHeight="1">
      <c r="F651" s="84"/>
      <c r="I651" s="84"/>
    </row>
    <row r="652" ht="15.75" customHeight="1">
      <c r="F652" s="84"/>
      <c r="I652" s="84"/>
    </row>
    <row r="653" ht="15.75" customHeight="1">
      <c r="F653" s="84"/>
      <c r="I653" s="84"/>
    </row>
    <row r="654" ht="15.75" customHeight="1">
      <c r="F654" s="84"/>
      <c r="I654" s="84"/>
    </row>
    <row r="655" ht="15.75" customHeight="1">
      <c r="F655" s="84"/>
      <c r="I655" s="84"/>
    </row>
    <row r="656" ht="15.75" customHeight="1">
      <c r="F656" s="84"/>
      <c r="I656" s="84"/>
    </row>
    <row r="657" ht="15.75" customHeight="1">
      <c r="F657" s="84"/>
      <c r="I657" s="84"/>
    </row>
    <row r="658" ht="15.75" customHeight="1">
      <c r="F658" s="84"/>
      <c r="I658" s="84"/>
    </row>
    <row r="659" ht="15.75" customHeight="1">
      <c r="F659" s="84"/>
      <c r="I659" s="84"/>
    </row>
    <row r="660" ht="15.75" customHeight="1">
      <c r="F660" s="84"/>
      <c r="I660" s="84"/>
    </row>
    <row r="661" ht="15.75" customHeight="1">
      <c r="F661" s="84"/>
      <c r="I661" s="84"/>
    </row>
    <row r="662" ht="15.75" customHeight="1">
      <c r="F662" s="84"/>
      <c r="I662" s="84"/>
    </row>
    <row r="663" ht="15.75" customHeight="1">
      <c r="F663" s="84"/>
      <c r="I663" s="84"/>
    </row>
    <row r="664" ht="15.75" customHeight="1">
      <c r="F664" s="84"/>
      <c r="I664" s="84"/>
    </row>
    <row r="665" ht="15.75" customHeight="1">
      <c r="F665" s="84"/>
      <c r="I665" s="84"/>
    </row>
    <row r="666" ht="15.75" customHeight="1">
      <c r="F666" s="84"/>
      <c r="I666" s="84"/>
    </row>
    <row r="667" ht="15.75" customHeight="1">
      <c r="F667" s="84"/>
      <c r="I667" s="84"/>
    </row>
    <row r="668" ht="15.75" customHeight="1">
      <c r="F668" s="84"/>
      <c r="I668" s="84"/>
    </row>
    <row r="669" ht="15.75" customHeight="1">
      <c r="F669" s="84"/>
      <c r="I669" s="84"/>
    </row>
    <row r="670" ht="15.75" customHeight="1">
      <c r="F670" s="84"/>
      <c r="I670" s="84"/>
    </row>
    <row r="671" ht="15.75" customHeight="1">
      <c r="F671" s="84"/>
      <c r="I671" s="84"/>
    </row>
    <row r="672" ht="15.75" customHeight="1">
      <c r="F672" s="84"/>
      <c r="I672" s="84"/>
    </row>
    <row r="673" ht="15.75" customHeight="1">
      <c r="F673" s="84"/>
      <c r="I673" s="84"/>
    </row>
    <row r="674" ht="15.75" customHeight="1">
      <c r="F674" s="84"/>
      <c r="I674" s="84"/>
    </row>
    <row r="675" ht="15.75" customHeight="1">
      <c r="F675" s="84"/>
      <c r="I675" s="84"/>
    </row>
    <row r="676" ht="15.75" customHeight="1">
      <c r="F676" s="84"/>
      <c r="I676" s="84"/>
    </row>
    <row r="677" ht="15.75" customHeight="1">
      <c r="F677" s="84"/>
      <c r="I677" s="84"/>
    </row>
    <row r="678" ht="15.75" customHeight="1">
      <c r="F678" s="84"/>
      <c r="I678" s="84"/>
    </row>
    <row r="679" ht="15.75" customHeight="1">
      <c r="F679" s="84"/>
      <c r="I679" s="84"/>
    </row>
    <row r="680" ht="15.75" customHeight="1">
      <c r="F680" s="84"/>
      <c r="I680" s="84"/>
    </row>
    <row r="681" ht="15.75" customHeight="1">
      <c r="F681" s="84"/>
      <c r="I681" s="84"/>
    </row>
    <row r="682" ht="15.75" customHeight="1">
      <c r="F682" s="84"/>
      <c r="I682" s="84"/>
    </row>
    <row r="683" ht="15.75" customHeight="1">
      <c r="F683" s="84"/>
      <c r="I683" s="84"/>
    </row>
    <row r="684" ht="15.75" customHeight="1">
      <c r="F684" s="84"/>
      <c r="I684" s="84"/>
    </row>
    <row r="685" ht="15.75" customHeight="1">
      <c r="F685" s="84"/>
      <c r="I685" s="84"/>
    </row>
    <row r="686" ht="15.75" customHeight="1">
      <c r="F686" s="84"/>
      <c r="I686" s="84"/>
    </row>
    <row r="687" ht="15.75" customHeight="1">
      <c r="F687" s="84"/>
      <c r="I687" s="84"/>
    </row>
    <row r="688" ht="15.75" customHeight="1">
      <c r="F688" s="84"/>
      <c r="I688" s="84"/>
    </row>
    <row r="689" ht="15.75" customHeight="1">
      <c r="F689" s="84"/>
      <c r="I689" s="84"/>
    </row>
    <row r="690" ht="15.75" customHeight="1">
      <c r="F690" s="84"/>
      <c r="I690" s="84"/>
    </row>
    <row r="691" ht="15.75" customHeight="1">
      <c r="F691" s="84"/>
      <c r="I691" s="84"/>
    </row>
    <row r="692" ht="15.75" customHeight="1">
      <c r="F692" s="84"/>
      <c r="I692" s="84"/>
    </row>
    <row r="693" ht="15.75" customHeight="1">
      <c r="F693" s="84"/>
      <c r="I693" s="84"/>
    </row>
    <row r="694" ht="15.75" customHeight="1">
      <c r="F694" s="84"/>
      <c r="I694" s="84"/>
    </row>
    <row r="695" ht="15.75" customHeight="1">
      <c r="F695" s="84"/>
      <c r="I695" s="84"/>
    </row>
    <row r="696" ht="15.75" customHeight="1">
      <c r="F696" s="84"/>
      <c r="I696" s="84"/>
    </row>
    <row r="697" ht="15.75" customHeight="1">
      <c r="F697" s="84"/>
      <c r="I697" s="84"/>
    </row>
    <row r="698" ht="15.75" customHeight="1">
      <c r="F698" s="84"/>
      <c r="I698" s="84"/>
    </row>
    <row r="699" ht="15.75" customHeight="1">
      <c r="F699" s="84"/>
      <c r="I699" s="84"/>
    </row>
    <row r="700" ht="15.75" customHeight="1">
      <c r="F700" s="84"/>
      <c r="I700" s="84"/>
    </row>
    <row r="701" ht="15.75" customHeight="1">
      <c r="F701" s="84"/>
      <c r="I701" s="84"/>
    </row>
    <row r="702" ht="15.75" customHeight="1">
      <c r="F702" s="84"/>
      <c r="I702" s="84"/>
    </row>
    <row r="703" ht="15.75" customHeight="1">
      <c r="F703" s="84"/>
      <c r="I703" s="84"/>
    </row>
    <row r="704" ht="15.75" customHeight="1">
      <c r="F704" s="84"/>
      <c r="I704" s="84"/>
    </row>
    <row r="705" ht="15.75" customHeight="1">
      <c r="F705" s="84"/>
      <c r="I705" s="84"/>
    </row>
    <row r="706" ht="15.75" customHeight="1">
      <c r="F706" s="84"/>
      <c r="I706" s="84"/>
    </row>
    <row r="707" ht="15.75" customHeight="1">
      <c r="F707" s="84"/>
      <c r="I707" s="84"/>
    </row>
    <row r="708" ht="15.75" customHeight="1">
      <c r="F708" s="84"/>
      <c r="I708" s="84"/>
    </row>
    <row r="709" ht="15.75" customHeight="1">
      <c r="F709" s="84"/>
      <c r="I709" s="84"/>
    </row>
    <row r="710" ht="15.75" customHeight="1">
      <c r="F710" s="84"/>
      <c r="I710" s="84"/>
    </row>
    <row r="711" ht="15.75" customHeight="1">
      <c r="F711" s="84"/>
      <c r="I711" s="84"/>
    </row>
    <row r="712" ht="15.75" customHeight="1">
      <c r="F712" s="84"/>
      <c r="I712" s="84"/>
    </row>
    <row r="713" ht="15.75" customHeight="1">
      <c r="F713" s="84"/>
      <c r="I713" s="84"/>
    </row>
    <row r="714" ht="15.75" customHeight="1">
      <c r="F714" s="84"/>
      <c r="I714" s="84"/>
    </row>
    <row r="715" ht="15.75" customHeight="1">
      <c r="F715" s="84"/>
      <c r="I715" s="84"/>
    </row>
    <row r="716" ht="15.75" customHeight="1">
      <c r="F716" s="84"/>
      <c r="I716" s="84"/>
    </row>
    <row r="717" ht="15.75" customHeight="1">
      <c r="F717" s="84"/>
      <c r="I717" s="84"/>
    </row>
    <row r="718" ht="15.75" customHeight="1">
      <c r="F718" s="84"/>
      <c r="I718" s="84"/>
    </row>
    <row r="719" ht="15.75" customHeight="1">
      <c r="F719" s="84"/>
      <c r="I719" s="84"/>
    </row>
    <row r="720" ht="15.75" customHeight="1">
      <c r="F720" s="84"/>
      <c r="I720" s="84"/>
    </row>
    <row r="721" ht="15.75" customHeight="1">
      <c r="F721" s="84"/>
      <c r="I721" s="84"/>
    </row>
    <row r="722" ht="15.75" customHeight="1">
      <c r="F722" s="84"/>
      <c r="I722" s="84"/>
    </row>
    <row r="723" ht="15.75" customHeight="1">
      <c r="F723" s="84"/>
      <c r="I723" s="84"/>
    </row>
    <row r="724" ht="15.75" customHeight="1">
      <c r="F724" s="84"/>
      <c r="I724" s="84"/>
    </row>
    <row r="725" ht="15.75" customHeight="1">
      <c r="F725" s="84"/>
      <c r="I725" s="84"/>
    </row>
    <row r="726" ht="15.75" customHeight="1">
      <c r="F726" s="84"/>
      <c r="I726" s="84"/>
    </row>
    <row r="727" ht="15.75" customHeight="1">
      <c r="F727" s="84"/>
      <c r="I727" s="84"/>
    </row>
    <row r="728" ht="15.75" customHeight="1">
      <c r="F728" s="84"/>
      <c r="I728" s="84"/>
    </row>
    <row r="729" ht="15.75" customHeight="1">
      <c r="F729" s="84"/>
      <c r="I729" s="84"/>
    </row>
    <row r="730" ht="15.75" customHeight="1">
      <c r="F730" s="84"/>
      <c r="I730" s="84"/>
    </row>
    <row r="731" ht="15.75" customHeight="1">
      <c r="F731" s="84"/>
      <c r="I731" s="84"/>
    </row>
    <row r="732" ht="15.75" customHeight="1">
      <c r="F732" s="84"/>
      <c r="I732" s="84"/>
    </row>
    <row r="733" ht="15.75" customHeight="1">
      <c r="F733" s="84"/>
      <c r="I733" s="84"/>
    </row>
    <row r="734" ht="15.75" customHeight="1">
      <c r="F734" s="84"/>
      <c r="I734" s="84"/>
    </row>
    <row r="735" ht="15.75" customHeight="1">
      <c r="F735" s="84"/>
      <c r="I735" s="84"/>
    </row>
    <row r="736" ht="15.75" customHeight="1">
      <c r="F736" s="84"/>
      <c r="I736" s="84"/>
    </row>
    <row r="737" ht="15.75" customHeight="1">
      <c r="F737" s="84"/>
      <c r="I737" s="84"/>
    </row>
    <row r="738" ht="15.75" customHeight="1">
      <c r="F738" s="84"/>
      <c r="I738" s="84"/>
    </row>
    <row r="739" ht="15.75" customHeight="1">
      <c r="F739" s="84"/>
      <c r="I739" s="84"/>
    </row>
    <row r="740" ht="15.75" customHeight="1">
      <c r="F740" s="84"/>
      <c r="I740" s="84"/>
    </row>
    <row r="741" ht="15.75" customHeight="1">
      <c r="F741" s="84"/>
      <c r="I741" s="84"/>
    </row>
    <row r="742" ht="15.75" customHeight="1">
      <c r="F742" s="84"/>
      <c r="I742" s="84"/>
    </row>
    <row r="743" ht="15.75" customHeight="1">
      <c r="F743" s="84"/>
      <c r="I743" s="84"/>
    </row>
    <row r="744" ht="15.75" customHeight="1">
      <c r="F744" s="84"/>
      <c r="I744" s="84"/>
    </row>
    <row r="745" ht="15.75" customHeight="1">
      <c r="F745" s="84"/>
      <c r="I745" s="84"/>
    </row>
    <row r="746" ht="15.75" customHeight="1">
      <c r="F746" s="84"/>
      <c r="I746" s="84"/>
    </row>
    <row r="747" ht="15.75" customHeight="1">
      <c r="F747" s="84"/>
      <c r="I747" s="84"/>
    </row>
    <row r="748" ht="15.75" customHeight="1">
      <c r="F748" s="84"/>
      <c r="I748" s="84"/>
    </row>
    <row r="749" ht="15.75" customHeight="1">
      <c r="F749" s="84"/>
      <c r="I749" s="84"/>
    </row>
    <row r="750" ht="15.75" customHeight="1">
      <c r="F750" s="84"/>
      <c r="I750" s="84"/>
    </row>
    <row r="751" ht="15.75" customHeight="1">
      <c r="F751" s="84"/>
      <c r="I751" s="84"/>
    </row>
    <row r="752" ht="15.75" customHeight="1">
      <c r="F752" s="84"/>
      <c r="I752" s="84"/>
    </row>
    <row r="753" ht="15.75" customHeight="1">
      <c r="F753" s="84"/>
      <c r="I753" s="84"/>
    </row>
    <row r="754" ht="15.75" customHeight="1">
      <c r="F754" s="84"/>
      <c r="I754" s="84"/>
    </row>
    <row r="755" ht="15.75" customHeight="1">
      <c r="F755" s="84"/>
      <c r="I755" s="84"/>
    </row>
    <row r="756" ht="15.75" customHeight="1">
      <c r="F756" s="84"/>
      <c r="I756" s="84"/>
    </row>
    <row r="757" ht="15.75" customHeight="1">
      <c r="F757" s="84"/>
      <c r="I757" s="84"/>
    </row>
    <row r="758" ht="15.75" customHeight="1">
      <c r="F758" s="84"/>
      <c r="I758" s="84"/>
    </row>
    <row r="759" ht="15.75" customHeight="1">
      <c r="F759" s="84"/>
      <c r="I759" s="84"/>
    </row>
    <row r="760" ht="15.75" customHeight="1">
      <c r="F760" s="84"/>
      <c r="I760" s="84"/>
    </row>
    <row r="761" ht="15.75" customHeight="1">
      <c r="F761" s="84"/>
      <c r="I761" s="84"/>
    </row>
    <row r="762" ht="15.75" customHeight="1">
      <c r="F762" s="84"/>
      <c r="I762" s="84"/>
    </row>
    <row r="763" ht="15.75" customHeight="1">
      <c r="F763" s="84"/>
      <c r="I763" s="84"/>
    </row>
    <row r="764" ht="15.75" customHeight="1">
      <c r="F764" s="84"/>
      <c r="I764" s="84"/>
    </row>
    <row r="765" ht="15.75" customHeight="1">
      <c r="F765" s="84"/>
      <c r="I765" s="84"/>
    </row>
    <row r="766" ht="15.75" customHeight="1">
      <c r="F766" s="84"/>
      <c r="I766" s="84"/>
    </row>
    <row r="767" ht="15.75" customHeight="1">
      <c r="F767" s="84"/>
      <c r="I767" s="84"/>
    </row>
    <row r="768" ht="15.75" customHeight="1">
      <c r="F768" s="84"/>
      <c r="I768" s="84"/>
    </row>
    <row r="769" ht="15.75" customHeight="1">
      <c r="F769" s="84"/>
      <c r="I769" s="84"/>
    </row>
    <row r="770" ht="15.75" customHeight="1">
      <c r="F770" s="84"/>
      <c r="I770" s="84"/>
    </row>
    <row r="771" ht="15.75" customHeight="1">
      <c r="F771" s="84"/>
      <c r="I771" s="84"/>
    </row>
    <row r="772" ht="15.75" customHeight="1">
      <c r="F772" s="84"/>
      <c r="I772" s="84"/>
    </row>
    <row r="773" ht="15.75" customHeight="1">
      <c r="F773" s="84"/>
      <c r="I773" s="84"/>
    </row>
    <row r="774" ht="15.75" customHeight="1">
      <c r="F774" s="84"/>
      <c r="I774" s="84"/>
    </row>
    <row r="775" ht="15.75" customHeight="1">
      <c r="F775" s="84"/>
      <c r="I775" s="84"/>
    </row>
    <row r="776" ht="15.75" customHeight="1">
      <c r="F776" s="84"/>
      <c r="I776" s="84"/>
    </row>
    <row r="777" ht="15.75" customHeight="1">
      <c r="F777" s="84"/>
      <c r="I777" s="84"/>
    </row>
    <row r="778" ht="15.75" customHeight="1">
      <c r="F778" s="84"/>
      <c r="I778" s="84"/>
    </row>
    <row r="779" ht="15.75" customHeight="1">
      <c r="F779" s="84"/>
      <c r="I779" s="84"/>
    </row>
    <row r="780" ht="15.75" customHeight="1">
      <c r="F780" s="84"/>
      <c r="I780" s="84"/>
    </row>
    <row r="781" ht="15.75" customHeight="1">
      <c r="F781" s="84"/>
      <c r="I781" s="84"/>
    </row>
    <row r="782" ht="15.75" customHeight="1">
      <c r="F782" s="84"/>
      <c r="I782" s="84"/>
    </row>
    <row r="783" ht="15.75" customHeight="1">
      <c r="F783" s="84"/>
      <c r="I783" s="84"/>
    </row>
    <row r="784" ht="15.75" customHeight="1">
      <c r="F784" s="84"/>
      <c r="I784" s="84"/>
    </row>
    <row r="785" ht="15.75" customHeight="1">
      <c r="F785" s="84"/>
      <c r="I785" s="84"/>
    </row>
    <row r="786" ht="15.75" customHeight="1">
      <c r="F786" s="84"/>
      <c r="I786" s="84"/>
    </row>
    <row r="787" ht="15.75" customHeight="1">
      <c r="F787" s="84"/>
      <c r="I787" s="84"/>
    </row>
    <row r="788" ht="15.75" customHeight="1">
      <c r="F788" s="84"/>
      <c r="I788" s="84"/>
    </row>
    <row r="789" ht="15.75" customHeight="1">
      <c r="F789" s="84"/>
      <c r="I789" s="84"/>
    </row>
    <row r="790" ht="15.75" customHeight="1">
      <c r="F790" s="84"/>
      <c r="I790" s="84"/>
    </row>
    <row r="791" ht="15.75" customHeight="1">
      <c r="F791" s="84"/>
      <c r="I791" s="84"/>
    </row>
    <row r="792" ht="15.75" customHeight="1">
      <c r="F792" s="84"/>
      <c r="I792" s="84"/>
    </row>
    <row r="793" ht="15.75" customHeight="1">
      <c r="F793" s="84"/>
      <c r="I793" s="84"/>
    </row>
    <row r="794" ht="15.75" customHeight="1">
      <c r="F794" s="84"/>
      <c r="I794" s="84"/>
    </row>
    <row r="795" ht="15.75" customHeight="1">
      <c r="F795" s="84"/>
      <c r="I795" s="84"/>
    </row>
    <row r="796" ht="15.75" customHeight="1">
      <c r="F796" s="84"/>
      <c r="I796" s="84"/>
    </row>
    <row r="797" ht="15.75" customHeight="1">
      <c r="F797" s="84"/>
      <c r="I797" s="84"/>
    </row>
    <row r="798" ht="15.75" customHeight="1">
      <c r="F798" s="84"/>
      <c r="I798" s="84"/>
    </row>
    <row r="799" ht="15.75" customHeight="1">
      <c r="F799" s="84"/>
      <c r="I799" s="84"/>
    </row>
    <row r="800" ht="15.75" customHeight="1">
      <c r="F800" s="84"/>
      <c r="I800" s="84"/>
    </row>
    <row r="801" ht="15.75" customHeight="1">
      <c r="F801" s="84"/>
      <c r="I801" s="84"/>
    </row>
    <row r="802" ht="15.75" customHeight="1">
      <c r="F802" s="84"/>
      <c r="I802" s="84"/>
    </row>
    <row r="803" ht="15.75" customHeight="1">
      <c r="F803" s="84"/>
      <c r="I803" s="84"/>
    </row>
    <row r="804" ht="15.75" customHeight="1">
      <c r="F804" s="84"/>
      <c r="I804" s="84"/>
    </row>
    <row r="805" ht="15.75" customHeight="1">
      <c r="F805" s="84"/>
      <c r="I805" s="84"/>
    </row>
    <row r="806" ht="15.75" customHeight="1">
      <c r="F806" s="84"/>
      <c r="I806" s="84"/>
    </row>
    <row r="807" ht="15.75" customHeight="1">
      <c r="F807" s="84"/>
      <c r="I807" s="84"/>
    </row>
    <row r="808" ht="15.75" customHeight="1">
      <c r="F808" s="84"/>
      <c r="I808" s="84"/>
    </row>
    <row r="809" ht="15.75" customHeight="1">
      <c r="F809" s="84"/>
      <c r="I809" s="84"/>
    </row>
    <row r="810" ht="15.75" customHeight="1">
      <c r="F810" s="84"/>
      <c r="I810" s="84"/>
    </row>
    <row r="811" ht="15.75" customHeight="1">
      <c r="F811" s="84"/>
      <c r="I811" s="84"/>
    </row>
    <row r="812" ht="15.75" customHeight="1">
      <c r="F812" s="84"/>
      <c r="I812" s="84"/>
    </row>
    <row r="813" ht="15.75" customHeight="1">
      <c r="F813" s="84"/>
      <c r="I813" s="84"/>
    </row>
    <row r="814" ht="15.75" customHeight="1">
      <c r="F814" s="84"/>
      <c r="I814" s="84"/>
    </row>
    <row r="815" ht="15.75" customHeight="1">
      <c r="F815" s="84"/>
      <c r="I815" s="84"/>
    </row>
    <row r="816" ht="15.75" customHeight="1">
      <c r="F816" s="84"/>
      <c r="I816" s="84"/>
    </row>
    <row r="817" ht="15.75" customHeight="1">
      <c r="F817" s="84"/>
      <c r="I817" s="84"/>
    </row>
    <row r="818" ht="15.75" customHeight="1">
      <c r="F818" s="84"/>
      <c r="I818" s="84"/>
    </row>
    <row r="819" ht="15.75" customHeight="1">
      <c r="F819" s="84"/>
      <c r="I819" s="84"/>
    </row>
    <row r="820" ht="15.75" customHeight="1">
      <c r="F820" s="84"/>
      <c r="I820" s="84"/>
    </row>
    <row r="821" ht="15.75" customHeight="1">
      <c r="F821" s="84"/>
      <c r="I821" s="84"/>
    </row>
    <row r="822" ht="15.75" customHeight="1">
      <c r="F822" s="84"/>
      <c r="I822" s="84"/>
    </row>
    <row r="823" ht="15.75" customHeight="1">
      <c r="F823" s="84"/>
      <c r="I823" s="84"/>
    </row>
    <row r="824" ht="15.75" customHeight="1">
      <c r="F824" s="84"/>
      <c r="I824" s="84"/>
    </row>
    <row r="825" ht="15.75" customHeight="1">
      <c r="F825" s="84"/>
      <c r="I825" s="84"/>
    </row>
    <row r="826" ht="15.75" customHeight="1">
      <c r="F826" s="84"/>
      <c r="I826" s="84"/>
    </row>
    <row r="827" ht="15.75" customHeight="1">
      <c r="F827" s="84"/>
      <c r="I827" s="84"/>
    </row>
    <row r="828" ht="15.75" customHeight="1">
      <c r="F828" s="84"/>
      <c r="I828" s="84"/>
    </row>
    <row r="829" ht="15.75" customHeight="1">
      <c r="F829" s="84"/>
      <c r="I829" s="84"/>
    </row>
    <row r="830" ht="15.75" customHeight="1">
      <c r="F830" s="84"/>
      <c r="I830" s="84"/>
    </row>
    <row r="831" ht="15.75" customHeight="1">
      <c r="F831" s="84"/>
      <c r="I831" s="84"/>
    </row>
    <row r="832" ht="15.75" customHeight="1">
      <c r="F832" s="84"/>
      <c r="I832" s="84"/>
    </row>
    <row r="833" ht="15.75" customHeight="1">
      <c r="F833" s="84"/>
      <c r="I833" s="84"/>
    </row>
    <row r="834" ht="15.75" customHeight="1">
      <c r="F834" s="84"/>
      <c r="I834" s="84"/>
    </row>
    <row r="835" ht="15.75" customHeight="1">
      <c r="F835" s="84"/>
      <c r="I835" s="84"/>
    </row>
    <row r="836" ht="15.75" customHeight="1">
      <c r="F836" s="84"/>
      <c r="I836" s="84"/>
    </row>
    <row r="837" ht="15.75" customHeight="1">
      <c r="F837" s="84"/>
      <c r="I837" s="84"/>
    </row>
    <row r="838" ht="15.75" customHeight="1">
      <c r="F838" s="84"/>
      <c r="I838" s="84"/>
    </row>
    <row r="839" ht="15.75" customHeight="1">
      <c r="F839" s="84"/>
      <c r="I839" s="84"/>
    </row>
    <row r="840" ht="15.75" customHeight="1">
      <c r="F840" s="84"/>
      <c r="I840" s="84"/>
    </row>
    <row r="841" ht="15.75" customHeight="1">
      <c r="F841" s="84"/>
      <c r="I841" s="84"/>
    </row>
    <row r="842" ht="15.75" customHeight="1">
      <c r="F842" s="84"/>
      <c r="I842" s="84"/>
    </row>
    <row r="843" ht="15.75" customHeight="1">
      <c r="F843" s="84"/>
      <c r="I843" s="84"/>
    </row>
    <row r="844" ht="15.75" customHeight="1">
      <c r="F844" s="84"/>
      <c r="I844" s="84"/>
    </row>
    <row r="845" ht="15.75" customHeight="1">
      <c r="F845" s="84"/>
      <c r="I845" s="84"/>
    </row>
    <row r="846" ht="15.75" customHeight="1">
      <c r="F846" s="84"/>
      <c r="I846" s="84"/>
    </row>
    <row r="847" ht="15.75" customHeight="1">
      <c r="F847" s="84"/>
      <c r="I847" s="84"/>
    </row>
    <row r="848" ht="15.75" customHeight="1">
      <c r="F848" s="84"/>
      <c r="I848" s="84"/>
    </row>
    <row r="849" ht="15.75" customHeight="1">
      <c r="F849" s="84"/>
      <c r="I849" s="84"/>
    </row>
    <row r="850" ht="15.75" customHeight="1">
      <c r="F850" s="84"/>
      <c r="I850" s="84"/>
    </row>
    <row r="851" ht="15.75" customHeight="1">
      <c r="F851" s="84"/>
      <c r="I851" s="84"/>
    </row>
    <row r="852" ht="15.75" customHeight="1">
      <c r="F852" s="84"/>
      <c r="I852" s="84"/>
    </row>
    <row r="853" ht="15.75" customHeight="1">
      <c r="F853" s="84"/>
      <c r="I853" s="84"/>
    </row>
    <row r="854" ht="15.75" customHeight="1">
      <c r="F854" s="84"/>
      <c r="I854" s="84"/>
    </row>
    <row r="855" ht="15.75" customHeight="1">
      <c r="F855" s="84"/>
      <c r="I855" s="84"/>
    </row>
    <row r="856" ht="15.75" customHeight="1">
      <c r="F856" s="84"/>
      <c r="I856" s="84"/>
    </row>
    <row r="857" ht="15.75" customHeight="1">
      <c r="F857" s="84"/>
      <c r="I857" s="84"/>
    </row>
    <row r="858" ht="15.75" customHeight="1">
      <c r="F858" s="84"/>
      <c r="I858" s="84"/>
    </row>
    <row r="859" ht="15.75" customHeight="1">
      <c r="F859" s="84"/>
      <c r="I859" s="84"/>
    </row>
    <row r="860" ht="15.75" customHeight="1">
      <c r="F860" s="84"/>
      <c r="I860" s="84"/>
    </row>
    <row r="861" ht="15.75" customHeight="1">
      <c r="F861" s="84"/>
      <c r="I861" s="84"/>
    </row>
    <row r="862" ht="15.75" customHeight="1">
      <c r="F862" s="84"/>
      <c r="I862" s="84"/>
    </row>
    <row r="863" ht="15.75" customHeight="1">
      <c r="F863" s="84"/>
      <c r="I863" s="84"/>
    </row>
    <row r="864" ht="15.75" customHeight="1">
      <c r="F864" s="84"/>
      <c r="I864" s="84"/>
    </row>
    <row r="865" ht="15.75" customHeight="1">
      <c r="F865" s="84"/>
      <c r="I865" s="84"/>
    </row>
    <row r="866" ht="15.75" customHeight="1">
      <c r="F866" s="84"/>
      <c r="I866" s="84"/>
    </row>
    <row r="867" ht="15.75" customHeight="1">
      <c r="F867" s="84"/>
      <c r="I867" s="84"/>
    </row>
    <row r="868" ht="15.75" customHeight="1">
      <c r="F868" s="84"/>
      <c r="I868" s="84"/>
    </row>
    <row r="869" ht="15.75" customHeight="1">
      <c r="F869" s="84"/>
      <c r="I869" s="84"/>
    </row>
    <row r="870" ht="15.75" customHeight="1">
      <c r="F870" s="84"/>
      <c r="I870" s="84"/>
    </row>
    <row r="871" ht="15.75" customHeight="1">
      <c r="F871" s="84"/>
      <c r="I871" s="84"/>
    </row>
    <row r="872" ht="15.75" customHeight="1">
      <c r="F872" s="84"/>
      <c r="I872" s="84"/>
    </row>
    <row r="873" ht="15.75" customHeight="1">
      <c r="F873" s="84"/>
      <c r="I873" s="84"/>
    </row>
    <row r="874" ht="15.75" customHeight="1">
      <c r="F874" s="84"/>
      <c r="I874" s="84"/>
    </row>
    <row r="875" ht="15.75" customHeight="1">
      <c r="F875" s="84"/>
      <c r="I875" s="84"/>
    </row>
    <row r="876" ht="15.75" customHeight="1">
      <c r="F876" s="84"/>
      <c r="I876" s="84"/>
    </row>
    <row r="877" ht="15.75" customHeight="1">
      <c r="F877" s="84"/>
      <c r="I877" s="84"/>
    </row>
    <row r="878" ht="15.75" customHeight="1">
      <c r="F878" s="84"/>
      <c r="I878" s="84"/>
    </row>
    <row r="879" ht="15.75" customHeight="1">
      <c r="F879" s="84"/>
      <c r="I879" s="84"/>
    </row>
    <row r="880" ht="15.75" customHeight="1">
      <c r="F880" s="84"/>
      <c r="I880" s="84"/>
    </row>
    <row r="881" ht="15.75" customHeight="1">
      <c r="F881" s="84"/>
      <c r="I881" s="84"/>
    </row>
    <row r="882" ht="15.75" customHeight="1">
      <c r="F882" s="84"/>
      <c r="I882" s="84"/>
    </row>
    <row r="883" ht="15.75" customHeight="1">
      <c r="F883" s="84"/>
      <c r="I883" s="84"/>
    </row>
    <row r="884" ht="15.75" customHeight="1">
      <c r="F884" s="84"/>
      <c r="I884" s="84"/>
    </row>
    <row r="885" ht="15.75" customHeight="1">
      <c r="F885" s="84"/>
      <c r="I885" s="84"/>
    </row>
    <row r="886" ht="15.75" customHeight="1">
      <c r="F886" s="84"/>
      <c r="I886" s="84"/>
    </row>
    <row r="887" ht="15.75" customHeight="1">
      <c r="F887" s="84"/>
      <c r="I887" s="84"/>
    </row>
    <row r="888" ht="15.75" customHeight="1">
      <c r="F888" s="84"/>
      <c r="I888" s="84"/>
    </row>
    <row r="889" ht="15.75" customHeight="1">
      <c r="F889" s="84"/>
      <c r="I889" s="84"/>
    </row>
    <row r="890" ht="15.75" customHeight="1">
      <c r="F890" s="84"/>
      <c r="I890" s="84"/>
    </row>
    <row r="891" ht="15.75" customHeight="1">
      <c r="F891" s="84"/>
      <c r="I891" s="84"/>
    </row>
    <row r="892" ht="15.75" customHeight="1">
      <c r="F892" s="84"/>
      <c r="I892" s="84"/>
    </row>
    <row r="893" ht="15.75" customHeight="1">
      <c r="F893" s="84"/>
      <c r="I893" s="84"/>
    </row>
    <row r="894" ht="15.75" customHeight="1">
      <c r="F894" s="84"/>
      <c r="I894" s="84"/>
    </row>
    <row r="895" ht="15.75" customHeight="1">
      <c r="F895" s="84"/>
      <c r="I895" s="84"/>
    </row>
    <row r="896" ht="15.75" customHeight="1">
      <c r="F896" s="84"/>
      <c r="I896" s="84"/>
    </row>
    <row r="897" ht="15.75" customHeight="1">
      <c r="F897" s="84"/>
      <c r="I897" s="84"/>
    </row>
    <row r="898" ht="15.75" customHeight="1">
      <c r="F898" s="84"/>
      <c r="I898" s="84"/>
    </row>
    <row r="899" ht="15.75" customHeight="1">
      <c r="F899" s="84"/>
      <c r="I899" s="84"/>
    </row>
    <row r="900" ht="15.75" customHeight="1">
      <c r="F900" s="84"/>
      <c r="I900" s="84"/>
    </row>
    <row r="901" ht="15.75" customHeight="1">
      <c r="F901" s="84"/>
      <c r="I901" s="84"/>
    </row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U$56">
    <sortState ref="A1:U56">
      <sortCondition ref="G1:G56"/>
      <sortCondition ref="K1:K56"/>
      <sortCondition ref="J1:J56"/>
      <sortCondition ref="A1:A56"/>
      <sortCondition ref="D1:D56"/>
      <sortCondition ref="E1:E56"/>
      <sortCondition ref="F1:F56"/>
      <sortCondition ref="I1:I56"/>
    </sortState>
  </autoFilter>
  <dataValidations>
    <dataValidation type="list" allowBlank="1" showErrorMessage="1" sqref="I2:I901">
      <formula1>"Def globale,Def navale,Def terrestre,Mixte navale,Mixte terrestre,Off globale,Off navale,Off terrestre,Portail,Prod navale,Prod ressources,Prod terrestre,Sort,Sort ressources"</formula1>
    </dataValidation>
    <dataValidation type="list" allowBlank="1" sqref="F2:F901">
      <formula1>'Listing Effets'!$A$2:$A$51</formula1>
    </dataValidation>
  </dataValidations>
  <drawing r:id="rId1"/>
</worksheet>
</file>