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 joués" sheetId="1" r:id="rId5"/>
  </sheets>
  <definedNames>
    <definedName hidden="1" localSheetId="0" name="_xlnm._FilterDatabase">'PT joués'!$A$1:$U$54</definedName>
  </definedNames>
  <calcPr/>
</workbook>
</file>

<file path=xl/sharedStrings.xml><?xml version="1.0" encoding="utf-8"?>
<sst xmlns="http://schemas.openxmlformats.org/spreadsheetml/2006/main" count="226" uniqueCount="111">
  <si>
    <t>ID</t>
  </si>
  <si>
    <t>X</t>
  </si>
  <si>
    <t>Y</t>
  </si>
  <si>
    <t>Nom</t>
  </si>
  <si>
    <t>Mer</t>
  </si>
  <si>
    <t>Effet</t>
  </si>
  <si>
    <t>Owner</t>
  </si>
  <si>
    <t>Effet réduit</t>
  </si>
  <si>
    <t>Type</t>
  </si>
  <si>
    <t>Tier</t>
  </si>
  <si>
    <t>Distance GT</t>
  </si>
  <si>
    <t>BBcode</t>
  </si>
  <si>
    <t>Zone</t>
  </si>
  <si>
    <t>Dif X</t>
  </si>
  <si>
    <t>Dif Y</t>
  </si>
  <si>
    <t>Kallithea</t>
  </si>
  <si>
    <t>Augmente la valeur defensive de toutes les unites de 2%</t>
  </si>
  <si>
    <t>Def</t>
  </si>
  <si>
    <t>2% def all</t>
  </si>
  <si>
    <t>Didyma</t>
  </si>
  <si>
    <t>Gournia</t>
  </si>
  <si>
    <t>Pharsale</t>
  </si>
  <si>
    <t>Helorus</t>
  </si>
  <si>
    <t>Augmente la valeur defensive des Biremes de 8%</t>
  </si>
  <si>
    <t>Cag</t>
  </si>
  <si>
    <t>8% bibi</t>
  </si>
  <si>
    <t>Cnidus</t>
  </si>
  <si>
    <t>Bassae</t>
  </si>
  <si>
    <t>Augmente la valeur defensive des Archers de 15%</t>
  </si>
  <si>
    <t>15% archer</t>
  </si>
  <si>
    <t>Laus</t>
  </si>
  <si>
    <t>Akragas</t>
  </si>
  <si>
    <t>Amyclees</t>
  </si>
  <si>
    <t>Actium</t>
  </si>
  <si>
    <t>Augmente la valeur defensive des Combattants a l'epee de 15%</t>
  </si>
  <si>
    <t>15% CE</t>
  </si>
  <si>
    <t>Iasos</t>
  </si>
  <si>
    <t>Pteleum</t>
  </si>
  <si>
    <t>Myndus</t>
  </si>
  <si>
    <t>Augmente la valeur defensive des Hoplites de 15%</t>
  </si>
  <si>
    <t>15% hop</t>
  </si>
  <si>
    <t>Parium</t>
  </si>
  <si>
    <t>Augmente la puissance offensive de Bateaux-feux de 8%</t>
  </si>
  <si>
    <t>Off nav</t>
  </si>
  <si>
    <t>8% bf</t>
  </si>
  <si>
    <t>Rizinia</t>
  </si>
  <si>
    <t>Amaseia</t>
  </si>
  <si>
    <t>Kasmenai</t>
  </si>
  <si>
    <t>Augmente la valeur offensive de toutes les unites de 3%</t>
  </si>
  <si>
    <t>3% off all</t>
  </si>
  <si>
    <t>Parthenopolis</t>
  </si>
  <si>
    <t>Augmente la valeur offensive de toutes les unites navales de 5%</t>
  </si>
  <si>
    <t>5% nav</t>
  </si>
  <si>
    <t>Anthedon</t>
  </si>
  <si>
    <t>Maenace</t>
  </si>
  <si>
    <t>Augmente la puissance offensive de Cavaliers de 10%</t>
  </si>
  <si>
    <t>Off terr</t>
  </si>
  <si>
    <t>10% cava</t>
  </si>
  <si>
    <t>Assus</t>
  </si>
  <si>
    <t>Cynossema</t>
  </si>
  <si>
    <t>Olympie</t>
  </si>
  <si>
    <t>Augmente la puissance offensive de Griffons de 8%</t>
  </si>
  <si>
    <t>8% griffons</t>
  </si>
  <si>
    <t>Morgantina</t>
  </si>
  <si>
    <t>Akrillai</t>
  </si>
  <si>
    <t>Siteia</t>
  </si>
  <si>
    <t>Lampsaque</t>
  </si>
  <si>
    <t>Augmente la valeur offensive de toutes les unites terrestres non mythiques de 6%</t>
  </si>
  <si>
    <t>6% non-um</t>
  </si>
  <si>
    <t>Masis</t>
  </si>
  <si>
    <t>Ephyra</t>
  </si>
  <si>
    <t>Augmente la valeur offensive de toutes les unites terrestres non mythiques de 8%</t>
  </si>
  <si>
    <t>8% non-um</t>
  </si>
  <si>
    <t>Lato</t>
  </si>
  <si>
    <t>Aegae</t>
  </si>
  <si>
    <t>Augmente le bonus de concentration de la chasseresse de 10% supplementaires</t>
  </si>
  <si>
    <t>10% chass</t>
  </si>
  <si>
    <t>Methumna</t>
  </si>
  <si>
    <t>Tragurion</t>
  </si>
  <si>
    <t>Mycenes</t>
  </si>
  <si>
    <t>Augmente toutes les valeurs offensives des armes Contondant de 8%</t>
  </si>
  <si>
    <t>8% cont</t>
  </si>
  <si>
    <t>Trezene</t>
  </si>
  <si>
    <t>Portail vers Olympus</t>
  </si>
  <si>
    <t>Portail</t>
  </si>
  <si>
    <t>Sklavokampos</t>
  </si>
  <si>
    <t>Nicaea</t>
  </si>
  <si>
    <t>Argos</t>
  </si>
  <si>
    <t>Therma</t>
  </si>
  <si>
    <t>Ialysos</t>
  </si>
  <si>
    <t>Karyes</t>
  </si>
  <si>
    <t>Lilaea</t>
  </si>
  <si>
    <t>Itanos</t>
  </si>
  <si>
    <t>Copae</t>
  </si>
  <si>
    <t>Adramyttium</t>
  </si>
  <si>
    <t>Reduire tous les couts de recrutement d'unites navales de 6%</t>
  </si>
  <si>
    <t>Prod</t>
  </si>
  <si>
    <t>6% cout nav</t>
  </si>
  <si>
    <t>Olous</t>
  </si>
  <si>
    <t>Artemita</t>
  </si>
  <si>
    <t>Heraclea</t>
  </si>
  <si>
    <t>Reduit tous les couts de recrutement d'unites terrestres de 10%</t>
  </si>
  <si>
    <t>10% cout ter</t>
  </si>
  <si>
    <t>Pseira</t>
  </si>
  <si>
    <t>Abydos</t>
  </si>
  <si>
    <t>Lessa</t>
  </si>
  <si>
    <t>Reduit tous les couts de recrutement d'unites terrestres de 6%</t>
  </si>
  <si>
    <t>6% cout ter</t>
  </si>
  <si>
    <t>Thebai</t>
  </si>
  <si>
    <t>Augmente toutes les valeurs offensives des armes De jet de 8%</t>
  </si>
  <si>
    <t>8% arme de 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</si>
</sst>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1" fillId="2" fontId="2" numFmtId="0" xfId="0" applyBorder="1" applyFont="1"/>
    <xf borderId="0" fillId="2" fontId="2" numFmtId="0" xfId="0" applyFont="1"/>
    <xf borderId="0" fillId="2" fontId="2" numFmtId="4" xfId="0" applyAlignment="1" applyFont="1" applyNumberForma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/>
    </xf>
    <xf borderId="1" fillId="3" fontId="2" numFmtId="0" xfId="0" applyBorder="1" applyFont="1"/>
    <xf borderId="0" fillId="3" fontId="2" numFmtId="0" xfId="0" applyFont="1"/>
    <xf borderId="0" fillId="3" fontId="2" numFmtId="4" xfId="0" applyAlignment="1" applyFont="1" applyNumberForma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/>
    </xf>
    <xf borderId="1" fillId="4" fontId="2" numFmtId="0" xfId="0" applyBorder="1" applyFont="1"/>
    <xf borderId="0" fillId="4" fontId="2" numFmtId="0" xfId="0" applyFont="1"/>
    <xf borderId="0" fillId="4" fontId="2" numFmtId="4" xfId="0" applyAlignment="1" applyFont="1" applyNumberForma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readingOrder="0"/>
    </xf>
    <xf borderId="1" fillId="5" fontId="2" numFmtId="0" xfId="0" applyBorder="1" applyFont="1"/>
    <xf borderId="0" fillId="5" fontId="2" numFmtId="0" xfId="0" applyFont="1"/>
    <xf borderId="0" fillId="5" fontId="2" numFmtId="4" xfId="0" applyAlignment="1" applyFont="1" applyNumberFormat="1">
      <alignment readingOrder="0" shrinkToFit="0" wrapText="0"/>
    </xf>
    <xf borderId="0" fillId="5" fontId="2" numFmtId="0" xfId="0" applyAlignment="1" applyFont="1">
      <alignment readingOrder="0" shrinkToFit="0" wrapText="0"/>
    </xf>
    <xf borderId="0" fillId="6" fontId="1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readingOrder="0"/>
    </xf>
    <xf borderId="1" fillId="6" fontId="2" numFmtId="0" xfId="0" applyBorder="1" applyFont="1"/>
    <xf borderId="0" fillId="6" fontId="2" numFmtId="0" xfId="0" applyFont="1"/>
    <xf borderId="0" fillId="6" fontId="2" numFmtId="4" xfId="0" applyAlignment="1" applyFont="1" applyNumberFormat="1">
      <alignment readingOrder="0" shrinkToFit="0" wrapText="0"/>
    </xf>
    <xf borderId="0" fillId="6" fontId="2" numFmtId="0" xfId="0" applyAlignment="1" applyFont="1">
      <alignment readingOrder="0" shrinkToFit="0" wrapText="0"/>
    </xf>
    <xf borderId="0" fillId="7" fontId="1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Alignment="1" applyFont="1">
      <alignment readingOrder="0"/>
    </xf>
    <xf borderId="1" fillId="7" fontId="2" numFmtId="0" xfId="0" applyBorder="1" applyFont="1"/>
    <xf borderId="0" fillId="7" fontId="2" numFmtId="0" xfId="0" applyFont="1"/>
    <xf borderId="0" fillId="7" fontId="2" numFmtId="4" xfId="0" applyAlignment="1" applyFont="1" applyNumberFormat="1">
      <alignment readingOrder="0" shrinkToFit="0" wrapText="0"/>
    </xf>
    <xf borderId="0" fillId="7" fontId="2" numFmtId="0" xfId="0" applyAlignment="1" applyFont="1">
      <alignment readingOrder="0" shrinkToFit="0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6.13"/>
    <col customWidth="1" min="3" max="3" width="4.63"/>
    <col customWidth="1" min="4" max="4" width="13.63"/>
    <col customWidth="1" min="5" max="5" width="6.5"/>
    <col customWidth="1" min="6" max="6" width="79.75"/>
    <col customWidth="1" min="7" max="7" width="22.25"/>
    <col customWidth="1" min="9" max="9" width="18.13"/>
    <col customWidth="1" min="10" max="10" width="6.5"/>
    <col customWidth="1" min="11" max="11" width="15.25"/>
    <col customWidth="1" min="12" max="12" width="16.13"/>
    <col customWidth="1" min="14" max="15" width="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5">
        <v>78.0</v>
      </c>
      <c r="B2" s="6">
        <v>319.0</v>
      </c>
      <c r="C2" s="6">
        <v>449.0</v>
      </c>
      <c r="D2" s="6" t="s">
        <v>15</v>
      </c>
      <c r="E2" s="7">
        <v>34.0</v>
      </c>
      <c r="F2" s="6" t="s">
        <v>16</v>
      </c>
      <c r="G2" s="6" t="s">
        <v>17</v>
      </c>
      <c r="H2" s="8" t="s">
        <v>18</v>
      </c>
      <c r="I2" s="9" t="str">
        <f t="shared" ref="I2:I54" si="2">VLOOKUP(F2,'Listing Effets'!$A$2:$D$101,2,FALSE)</f>
        <v>#REF!</v>
      </c>
      <c r="J2" s="9" t="str">
        <f t="shared" ref="J2:J54" si="3">VLOOKUP(F2,'Listing Effets'!$A$2:$D$101,3,FALSE)</f>
        <v>#REF!</v>
      </c>
      <c r="K2" s="10" t="str">
        <f t="shared" ref="K2:K54" si="4">ABS(SQRT((C2-500)^2+(B2-500)^2)-Calculs!$C$6)</f>
        <v>#REF!</v>
      </c>
      <c r="L2" s="11" t="str">
        <f t="shared" ref="L2:L54" si="5">CONCAT(CONCAT("[temple]",A2),"[/temple]")</f>
        <v>[temple]78[/temple]</v>
      </c>
      <c r="M2" s="9" t="str">
        <f t="shared" ref="M2:M54" si="6">IF(ABS(SQRT((C2-500)^2+(B2-500)^2))&lt;Calculs!$C$7,"Inté",IF(K2&gt;Calculs!$C$8,"Exté",IF(AND(N2&lt;=0,O2&lt;=0),"Nord-Ouest",IF(AND(N2&lt;=0,O2&gt;=0),"Sud-Ouest",IF(AND(N2&gt;=0,O2&lt;=0),"Nord-Est",IF(AND(N2&gt;=0,O2&gt;=0),"Sud-Est","Probleme"))))))</f>
        <v>#REF!</v>
      </c>
      <c r="N2" s="9">
        <f t="shared" ref="N2:O2" si="1">B2-500</f>
        <v>-181</v>
      </c>
      <c r="O2" s="9">
        <f t="shared" si="1"/>
        <v>-51</v>
      </c>
      <c r="P2" s="9"/>
      <c r="Q2" s="9"/>
      <c r="R2" s="9"/>
      <c r="S2" s="9"/>
      <c r="T2" s="9"/>
      <c r="U2" s="9"/>
    </row>
    <row r="3">
      <c r="A3" s="5">
        <v>60.0</v>
      </c>
      <c r="B3" s="6">
        <v>334.0</v>
      </c>
      <c r="C3" s="6">
        <v>543.0</v>
      </c>
      <c r="D3" s="6" t="s">
        <v>19</v>
      </c>
      <c r="E3" s="7">
        <v>35.0</v>
      </c>
      <c r="F3" s="6" t="s">
        <v>16</v>
      </c>
      <c r="G3" s="6" t="s">
        <v>17</v>
      </c>
      <c r="H3" s="8" t="s">
        <v>18</v>
      </c>
      <c r="I3" s="9" t="str">
        <f t="shared" si="2"/>
        <v>#REF!</v>
      </c>
      <c r="J3" s="9" t="str">
        <f t="shared" si="3"/>
        <v>#REF!</v>
      </c>
      <c r="K3" s="10" t="str">
        <f t="shared" si="4"/>
        <v>#REF!</v>
      </c>
      <c r="L3" s="11" t="str">
        <f t="shared" si="5"/>
        <v>[temple]60[/temple]</v>
      </c>
      <c r="M3" s="9" t="str">
        <f t="shared" si="6"/>
        <v>#REF!</v>
      </c>
      <c r="N3" s="9">
        <f t="shared" ref="N3:O3" si="7">B3-500</f>
        <v>-166</v>
      </c>
      <c r="O3" s="9">
        <f t="shared" si="7"/>
        <v>43</v>
      </c>
      <c r="P3" s="9"/>
      <c r="Q3" s="9"/>
      <c r="R3" s="9"/>
      <c r="S3" s="9"/>
      <c r="T3" s="9"/>
      <c r="U3" s="9"/>
    </row>
    <row r="4">
      <c r="A4" s="5">
        <v>66.0</v>
      </c>
      <c r="B4" s="6">
        <v>480.0</v>
      </c>
      <c r="C4" s="6">
        <v>678.0</v>
      </c>
      <c r="D4" s="6" t="s">
        <v>20</v>
      </c>
      <c r="E4" s="7">
        <v>46.0</v>
      </c>
      <c r="F4" s="6" t="s">
        <v>16</v>
      </c>
      <c r="G4" s="6" t="s">
        <v>17</v>
      </c>
      <c r="H4" s="8" t="s">
        <v>18</v>
      </c>
      <c r="I4" s="9" t="str">
        <f t="shared" si="2"/>
        <v>#REF!</v>
      </c>
      <c r="J4" s="9" t="str">
        <f t="shared" si="3"/>
        <v>#REF!</v>
      </c>
      <c r="K4" s="10" t="str">
        <f t="shared" si="4"/>
        <v>#REF!</v>
      </c>
      <c r="L4" s="11" t="str">
        <f t="shared" si="5"/>
        <v>[temple]66[/temple]</v>
      </c>
      <c r="M4" s="9" t="str">
        <f t="shared" si="6"/>
        <v>#REF!</v>
      </c>
      <c r="N4" s="9">
        <f t="shared" ref="N4:O4" si="8">B4-500</f>
        <v>-20</v>
      </c>
      <c r="O4" s="9">
        <f t="shared" si="8"/>
        <v>178</v>
      </c>
      <c r="P4" s="9"/>
      <c r="Q4" s="9"/>
      <c r="R4" s="9"/>
      <c r="S4" s="9"/>
      <c r="T4" s="9"/>
      <c r="U4" s="9"/>
    </row>
    <row r="5">
      <c r="A5" s="5">
        <v>62.0</v>
      </c>
      <c r="B5" s="6">
        <v>680.0</v>
      </c>
      <c r="C5" s="6">
        <v>512.0</v>
      </c>
      <c r="D5" s="6" t="s">
        <v>21</v>
      </c>
      <c r="E5" s="7">
        <v>65.0</v>
      </c>
      <c r="F5" s="6" t="s">
        <v>16</v>
      </c>
      <c r="G5" s="6" t="s">
        <v>17</v>
      </c>
      <c r="H5" s="8" t="s">
        <v>18</v>
      </c>
      <c r="I5" s="9" t="str">
        <f t="shared" si="2"/>
        <v>#REF!</v>
      </c>
      <c r="J5" s="9" t="str">
        <f t="shared" si="3"/>
        <v>#REF!</v>
      </c>
      <c r="K5" s="10" t="str">
        <f t="shared" si="4"/>
        <v>#REF!</v>
      </c>
      <c r="L5" s="11" t="str">
        <f t="shared" si="5"/>
        <v>[temple]62[/temple]</v>
      </c>
      <c r="M5" s="9" t="str">
        <f t="shared" si="6"/>
        <v>#REF!</v>
      </c>
      <c r="N5" s="9">
        <f t="shared" ref="N5:O5" si="9">B5-500</f>
        <v>180</v>
      </c>
      <c r="O5" s="9">
        <f t="shared" si="9"/>
        <v>12</v>
      </c>
      <c r="P5" s="9"/>
      <c r="Q5" s="9"/>
      <c r="R5" s="9"/>
      <c r="S5" s="9"/>
      <c r="T5" s="9"/>
      <c r="U5" s="9"/>
    </row>
    <row r="6">
      <c r="A6" s="12">
        <v>32.0</v>
      </c>
      <c r="B6" s="13">
        <v>367.0</v>
      </c>
      <c r="C6" s="13">
        <v>494.0</v>
      </c>
      <c r="D6" s="13" t="s">
        <v>22</v>
      </c>
      <c r="E6" s="14">
        <v>34.0</v>
      </c>
      <c r="F6" s="13" t="s">
        <v>23</v>
      </c>
      <c r="G6" s="13" t="s">
        <v>24</v>
      </c>
      <c r="H6" s="15" t="s">
        <v>25</v>
      </c>
      <c r="I6" s="16" t="str">
        <f t="shared" si="2"/>
        <v>#REF!</v>
      </c>
      <c r="J6" s="16" t="str">
        <f t="shared" si="3"/>
        <v>#REF!</v>
      </c>
      <c r="K6" s="17" t="str">
        <f t="shared" si="4"/>
        <v>#REF!</v>
      </c>
      <c r="L6" s="18" t="str">
        <f t="shared" si="5"/>
        <v>[temple]32[/temple]</v>
      </c>
      <c r="M6" s="16" t="str">
        <f t="shared" si="6"/>
        <v>#REF!</v>
      </c>
      <c r="N6" s="16">
        <f t="shared" ref="N6:O6" si="10">B6-500</f>
        <v>-133</v>
      </c>
      <c r="O6" s="16">
        <f t="shared" si="10"/>
        <v>-6</v>
      </c>
      <c r="P6" s="16"/>
      <c r="Q6" s="16"/>
      <c r="R6" s="16"/>
      <c r="S6" s="16"/>
      <c r="T6" s="16"/>
      <c r="U6" s="16"/>
    </row>
    <row r="7">
      <c r="A7" s="12">
        <v>9.0</v>
      </c>
      <c r="B7" s="13">
        <v>441.0</v>
      </c>
      <c r="C7" s="13">
        <v>483.0</v>
      </c>
      <c r="D7" s="13" t="s">
        <v>26</v>
      </c>
      <c r="E7" s="14">
        <v>44.0</v>
      </c>
      <c r="F7" s="13" t="s">
        <v>23</v>
      </c>
      <c r="G7" s="13" t="s">
        <v>24</v>
      </c>
      <c r="H7" s="15" t="s">
        <v>25</v>
      </c>
      <c r="I7" s="16" t="str">
        <f t="shared" si="2"/>
        <v>#REF!</v>
      </c>
      <c r="J7" s="16" t="str">
        <f t="shared" si="3"/>
        <v>#REF!</v>
      </c>
      <c r="K7" s="17" t="str">
        <f t="shared" si="4"/>
        <v>#REF!</v>
      </c>
      <c r="L7" s="18" t="str">
        <f t="shared" si="5"/>
        <v>[temple]9[/temple]</v>
      </c>
      <c r="M7" s="16" t="str">
        <f t="shared" si="6"/>
        <v>#REF!</v>
      </c>
      <c r="N7" s="16">
        <f t="shared" ref="N7:O7" si="11">B7-500</f>
        <v>-59</v>
      </c>
      <c r="O7" s="16">
        <f t="shared" si="11"/>
        <v>-17</v>
      </c>
      <c r="P7" s="16"/>
      <c r="Q7" s="16"/>
      <c r="R7" s="16"/>
      <c r="S7" s="16"/>
      <c r="T7" s="16"/>
      <c r="U7" s="16"/>
    </row>
    <row r="8">
      <c r="A8" s="5">
        <v>108.0</v>
      </c>
      <c r="B8" s="6">
        <v>279.0</v>
      </c>
      <c r="C8" s="6">
        <v>572.0</v>
      </c>
      <c r="D8" s="6" t="s">
        <v>27</v>
      </c>
      <c r="E8" s="7">
        <v>25.0</v>
      </c>
      <c r="F8" s="6" t="s">
        <v>28</v>
      </c>
      <c r="G8" s="6" t="s">
        <v>17</v>
      </c>
      <c r="H8" s="8" t="s">
        <v>29</v>
      </c>
      <c r="I8" s="9" t="str">
        <f t="shared" si="2"/>
        <v>#REF!</v>
      </c>
      <c r="J8" s="9" t="str">
        <f t="shared" si="3"/>
        <v>#REF!</v>
      </c>
      <c r="K8" s="10" t="str">
        <f t="shared" si="4"/>
        <v>#REF!</v>
      </c>
      <c r="L8" s="11" t="str">
        <f t="shared" si="5"/>
        <v>[temple]108[/temple]</v>
      </c>
      <c r="M8" s="9" t="str">
        <f t="shared" si="6"/>
        <v>#REF!</v>
      </c>
      <c r="N8" s="9">
        <f t="shared" ref="N8:O8" si="12">B8-500</f>
        <v>-221</v>
      </c>
      <c r="O8" s="9">
        <f t="shared" si="12"/>
        <v>72</v>
      </c>
      <c r="P8" s="9"/>
      <c r="Q8" s="9"/>
      <c r="R8" s="9"/>
      <c r="S8" s="9"/>
      <c r="T8" s="9"/>
      <c r="U8" s="9"/>
    </row>
    <row r="9">
      <c r="A9" s="5">
        <v>14.0</v>
      </c>
      <c r="B9" s="6">
        <v>480.0</v>
      </c>
      <c r="C9" s="6">
        <v>570.0</v>
      </c>
      <c r="D9" s="6" t="s">
        <v>30</v>
      </c>
      <c r="E9" s="7">
        <v>45.0</v>
      </c>
      <c r="F9" s="6" t="s">
        <v>28</v>
      </c>
      <c r="G9" s="6" t="s">
        <v>17</v>
      </c>
      <c r="H9" s="8" t="s">
        <v>29</v>
      </c>
      <c r="I9" s="9" t="str">
        <f t="shared" si="2"/>
        <v>#REF!</v>
      </c>
      <c r="J9" s="9" t="str">
        <f t="shared" si="3"/>
        <v>#REF!</v>
      </c>
      <c r="K9" s="10" t="str">
        <f t="shared" si="4"/>
        <v>#REF!</v>
      </c>
      <c r="L9" s="11" t="str">
        <f t="shared" si="5"/>
        <v>[temple]14[/temple]</v>
      </c>
      <c r="M9" s="9" t="str">
        <f t="shared" si="6"/>
        <v>#REF!</v>
      </c>
      <c r="N9" s="9">
        <f t="shared" ref="N9:O9" si="13">B9-500</f>
        <v>-20</v>
      </c>
      <c r="O9" s="9">
        <f t="shared" si="13"/>
        <v>70</v>
      </c>
      <c r="P9" s="9"/>
      <c r="Q9" s="9"/>
      <c r="R9" s="9"/>
      <c r="S9" s="9"/>
      <c r="T9" s="9"/>
      <c r="U9" s="9"/>
    </row>
    <row r="10">
      <c r="A10" s="5">
        <v>123.0</v>
      </c>
      <c r="B10" s="6">
        <v>537.0</v>
      </c>
      <c r="C10" s="6">
        <v>276.0</v>
      </c>
      <c r="D10" s="6" t="s">
        <v>31</v>
      </c>
      <c r="E10" s="7">
        <v>52.0</v>
      </c>
      <c r="F10" s="6" t="s">
        <v>28</v>
      </c>
      <c r="G10" s="6" t="s">
        <v>17</v>
      </c>
      <c r="H10" s="8" t="s">
        <v>29</v>
      </c>
      <c r="I10" s="9" t="str">
        <f t="shared" si="2"/>
        <v>#REF!</v>
      </c>
      <c r="J10" s="9" t="str">
        <f t="shared" si="3"/>
        <v>#REF!</v>
      </c>
      <c r="K10" s="10" t="str">
        <f t="shared" si="4"/>
        <v>#REF!</v>
      </c>
      <c r="L10" s="11" t="str">
        <f t="shared" si="5"/>
        <v>[temple]123[/temple]</v>
      </c>
      <c r="M10" s="9" t="str">
        <f t="shared" si="6"/>
        <v>#REF!</v>
      </c>
      <c r="N10" s="9">
        <f t="shared" ref="N10:O10" si="14">B10-500</f>
        <v>37</v>
      </c>
      <c r="O10" s="9">
        <f t="shared" si="14"/>
        <v>-224</v>
      </c>
      <c r="P10" s="9"/>
      <c r="Q10" s="9"/>
      <c r="R10" s="9"/>
      <c r="S10" s="9"/>
      <c r="T10" s="9"/>
      <c r="U10" s="9"/>
    </row>
    <row r="11">
      <c r="A11" s="5">
        <v>100.0</v>
      </c>
      <c r="B11" s="6">
        <v>631.0</v>
      </c>
      <c r="C11" s="6">
        <v>680.0</v>
      </c>
      <c r="D11" s="6" t="s">
        <v>32</v>
      </c>
      <c r="E11" s="7">
        <v>66.0</v>
      </c>
      <c r="F11" s="6" t="s">
        <v>28</v>
      </c>
      <c r="G11" s="6" t="s">
        <v>17</v>
      </c>
      <c r="H11" s="8" t="s">
        <v>29</v>
      </c>
      <c r="I11" s="9" t="str">
        <f t="shared" si="2"/>
        <v>#REF!</v>
      </c>
      <c r="J11" s="9" t="str">
        <f t="shared" si="3"/>
        <v>#REF!</v>
      </c>
      <c r="K11" s="10" t="str">
        <f t="shared" si="4"/>
        <v>#REF!</v>
      </c>
      <c r="L11" s="11" t="str">
        <f t="shared" si="5"/>
        <v>[temple]100[/temple]</v>
      </c>
      <c r="M11" s="9" t="str">
        <f t="shared" si="6"/>
        <v>#REF!</v>
      </c>
      <c r="N11" s="9">
        <f t="shared" ref="N11:O11" si="15">B11-500</f>
        <v>131</v>
      </c>
      <c r="O11" s="9">
        <f t="shared" si="15"/>
        <v>180</v>
      </c>
      <c r="P11" s="9"/>
      <c r="Q11" s="9"/>
      <c r="R11" s="9"/>
      <c r="S11" s="9"/>
      <c r="T11" s="9"/>
      <c r="U11" s="9"/>
    </row>
    <row r="12">
      <c r="A12" s="5">
        <v>84.0</v>
      </c>
      <c r="B12" s="6">
        <v>532.0</v>
      </c>
      <c r="C12" s="6">
        <v>307.0</v>
      </c>
      <c r="D12" s="6" t="s">
        <v>33</v>
      </c>
      <c r="E12" s="7">
        <v>53.0</v>
      </c>
      <c r="F12" s="6" t="s">
        <v>34</v>
      </c>
      <c r="G12" s="6" t="s">
        <v>17</v>
      </c>
      <c r="H12" s="8" t="s">
        <v>35</v>
      </c>
      <c r="I12" s="9" t="str">
        <f t="shared" si="2"/>
        <v>#REF!</v>
      </c>
      <c r="J12" s="9" t="str">
        <f t="shared" si="3"/>
        <v>#REF!</v>
      </c>
      <c r="K12" s="10" t="str">
        <f t="shared" si="4"/>
        <v>#REF!</v>
      </c>
      <c r="L12" s="11" t="str">
        <f t="shared" si="5"/>
        <v>[temple]84[/temple]</v>
      </c>
      <c r="M12" s="9" t="str">
        <f t="shared" si="6"/>
        <v>#REF!</v>
      </c>
      <c r="N12" s="9">
        <f t="shared" ref="N12:O12" si="16">B12-500</f>
        <v>32</v>
      </c>
      <c r="O12" s="9">
        <f t="shared" si="16"/>
        <v>-193</v>
      </c>
      <c r="P12" s="9"/>
      <c r="Q12" s="9"/>
      <c r="R12" s="9"/>
      <c r="S12" s="9"/>
      <c r="T12" s="9"/>
      <c r="U12" s="9"/>
    </row>
    <row r="13">
      <c r="A13" s="5">
        <v>74.0</v>
      </c>
      <c r="B13" s="6">
        <v>637.0</v>
      </c>
      <c r="C13" s="6">
        <v>365.0</v>
      </c>
      <c r="D13" s="6" t="s">
        <v>36</v>
      </c>
      <c r="E13" s="7">
        <v>63.0</v>
      </c>
      <c r="F13" s="6" t="s">
        <v>34</v>
      </c>
      <c r="G13" s="6" t="s">
        <v>17</v>
      </c>
      <c r="H13" s="8" t="s">
        <v>35</v>
      </c>
      <c r="I13" s="9" t="str">
        <f t="shared" si="2"/>
        <v>#REF!</v>
      </c>
      <c r="J13" s="9" t="str">
        <f t="shared" si="3"/>
        <v>#REF!</v>
      </c>
      <c r="K13" s="10" t="str">
        <f t="shared" si="4"/>
        <v>#REF!</v>
      </c>
      <c r="L13" s="11" t="str">
        <f t="shared" si="5"/>
        <v>[temple]74[/temple]</v>
      </c>
      <c r="M13" s="9" t="str">
        <f t="shared" si="6"/>
        <v>#REF!</v>
      </c>
      <c r="N13" s="9">
        <f t="shared" ref="N13:O13" si="17">B13-500</f>
        <v>137</v>
      </c>
      <c r="O13" s="9">
        <f t="shared" si="17"/>
        <v>-135</v>
      </c>
      <c r="P13" s="9"/>
      <c r="Q13" s="9"/>
      <c r="R13" s="9"/>
      <c r="S13" s="9"/>
      <c r="T13" s="9"/>
      <c r="U13" s="9"/>
    </row>
    <row r="14">
      <c r="A14" s="5">
        <v>86.0</v>
      </c>
      <c r="B14" s="6">
        <v>658.0</v>
      </c>
      <c r="C14" s="6">
        <v>338.0</v>
      </c>
      <c r="D14" s="6" t="s">
        <v>37</v>
      </c>
      <c r="E14" s="7">
        <v>63.0</v>
      </c>
      <c r="F14" s="6" t="s">
        <v>34</v>
      </c>
      <c r="G14" s="6" t="s">
        <v>17</v>
      </c>
      <c r="H14" s="8" t="s">
        <v>35</v>
      </c>
      <c r="I14" s="9" t="str">
        <f t="shared" si="2"/>
        <v>#REF!</v>
      </c>
      <c r="J14" s="9" t="str">
        <f t="shared" si="3"/>
        <v>#REF!</v>
      </c>
      <c r="K14" s="10" t="str">
        <f t="shared" si="4"/>
        <v>#REF!</v>
      </c>
      <c r="L14" s="11" t="str">
        <f t="shared" si="5"/>
        <v>[temple]86[/temple]</v>
      </c>
      <c r="M14" s="9" t="str">
        <f t="shared" si="6"/>
        <v>#REF!</v>
      </c>
      <c r="N14" s="9">
        <f t="shared" ref="N14:O14" si="18">B14-500</f>
        <v>158</v>
      </c>
      <c r="O14" s="9">
        <f t="shared" si="18"/>
        <v>-162</v>
      </c>
      <c r="P14" s="9"/>
      <c r="Q14" s="9"/>
      <c r="R14" s="9"/>
      <c r="S14" s="9"/>
      <c r="T14" s="9"/>
      <c r="U14" s="9"/>
    </row>
    <row r="15">
      <c r="A15" s="5">
        <v>91.0</v>
      </c>
      <c r="B15" s="6">
        <v>689.0</v>
      </c>
      <c r="C15" s="6">
        <v>614.0</v>
      </c>
      <c r="D15" s="6" t="s">
        <v>38</v>
      </c>
      <c r="E15" s="7">
        <v>66.0</v>
      </c>
      <c r="F15" s="6" t="s">
        <v>39</v>
      </c>
      <c r="G15" s="6" t="s">
        <v>17</v>
      </c>
      <c r="H15" s="8" t="s">
        <v>40</v>
      </c>
      <c r="I15" s="9" t="str">
        <f t="shared" si="2"/>
        <v>#REF!</v>
      </c>
      <c r="J15" s="9" t="str">
        <f t="shared" si="3"/>
        <v>#REF!</v>
      </c>
      <c r="K15" s="10" t="str">
        <f t="shared" si="4"/>
        <v>#REF!</v>
      </c>
      <c r="L15" s="11" t="str">
        <f t="shared" si="5"/>
        <v>[temple]91[/temple]</v>
      </c>
      <c r="M15" s="9" t="str">
        <f t="shared" si="6"/>
        <v>#REF!</v>
      </c>
      <c r="N15" s="9">
        <f t="shared" ref="N15:O15" si="19">B15-500</f>
        <v>189</v>
      </c>
      <c r="O15" s="9">
        <f t="shared" si="19"/>
        <v>114</v>
      </c>
      <c r="P15" s="9"/>
      <c r="Q15" s="9"/>
      <c r="R15" s="9"/>
      <c r="S15" s="9"/>
      <c r="T15" s="9"/>
      <c r="U15" s="9"/>
    </row>
    <row r="16">
      <c r="A16" s="19">
        <v>53.0</v>
      </c>
      <c r="B16" s="20">
        <v>485.0</v>
      </c>
      <c r="C16" s="20">
        <v>339.0</v>
      </c>
      <c r="D16" s="20" t="s">
        <v>41</v>
      </c>
      <c r="E16" s="21">
        <v>43.0</v>
      </c>
      <c r="F16" s="20" t="s">
        <v>42</v>
      </c>
      <c r="G16" s="20" t="s">
        <v>43</v>
      </c>
      <c r="H16" s="22" t="s">
        <v>44</v>
      </c>
      <c r="I16" s="23" t="str">
        <f t="shared" si="2"/>
        <v>#REF!</v>
      </c>
      <c r="J16" s="23" t="str">
        <f t="shared" si="3"/>
        <v>#REF!</v>
      </c>
      <c r="K16" s="24" t="str">
        <f t="shared" si="4"/>
        <v>#REF!</v>
      </c>
      <c r="L16" s="25" t="str">
        <f t="shared" si="5"/>
        <v>[temple]53[/temple]</v>
      </c>
      <c r="M16" s="23" t="str">
        <f t="shared" si="6"/>
        <v>#REF!</v>
      </c>
      <c r="N16" s="23">
        <f t="shared" ref="N16:O16" si="20">B16-500</f>
        <v>-15</v>
      </c>
      <c r="O16" s="23">
        <f t="shared" si="20"/>
        <v>-161</v>
      </c>
      <c r="P16" s="23"/>
      <c r="Q16" s="23"/>
      <c r="R16" s="23"/>
      <c r="S16" s="23"/>
      <c r="T16" s="23"/>
      <c r="U16" s="23"/>
    </row>
    <row r="17">
      <c r="A17" s="19">
        <v>70.0</v>
      </c>
      <c r="B17" s="20">
        <v>690.0</v>
      </c>
      <c r="C17" s="20">
        <v>486.0</v>
      </c>
      <c r="D17" s="20" t="s">
        <v>45</v>
      </c>
      <c r="E17" s="21">
        <v>64.0</v>
      </c>
      <c r="F17" s="20" t="s">
        <v>42</v>
      </c>
      <c r="G17" s="20" t="s">
        <v>43</v>
      </c>
      <c r="H17" s="22" t="s">
        <v>44</v>
      </c>
      <c r="I17" s="23" t="str">
        <f t="shared" si="2"/>
        <v>#REF!</v>
      </c>
      <c r="J17" s="23" t="str">
        <f t="shared" si="3"/>
        <v>#REF!</v>
      </c>
      <c r="K17" s="24" t="str">
        <f t="shared" si="4"/>
        <v>#REF!</v>
      </c>
      <c r="L17" s="25" t="str">
        <f t="shared" si="5"/>
        <v>[temple]70[/temple]</v>
      </c>
      <c r="M17" s="23" t="str">
        <f t="shared" si="6"/>
        <v>#REF!</v>
      </c>
      <c r="N17" s="23">
        <f t="shared" ref="N17:O17" si="21">B17-500</f>
        <v>190</v>
      </c>
      <c r="O17" s="23">
        <f t="shared" si="21"/>
        <v>-14</v>
      </c>
      <c r="P17" s="23"/>
      <c r="Q17" s="23"/>
      <c r="R17" s="23"/>
      <c r="S17" s="23"/>
      <c r="T17" s="23"/>
      <c r="U17" s="23"/>
    </row>
    <row r="18">
      <c r="A18" s="19">
        <v>109.0</v>
      </c>
      <c r="B18" s="20">
        <v>717.0</v>
      </c>
      <c r="C18" s="20">
        <v>576.0</v>
      </c>
      <c r="D18" s="20" t="s">
        <v>46</v>
      </c>
      <c r="E18" s="21">
        <v>75.0</v>
      </c>
      <c r="F18" s="20" t="s">
        <v>42</v>
      </c>
      <c r="G18" s="20" t="s">
        <v>43</v>
      </c>
      <c r="H18" s="22" t="s">
        <v>44</v>
      </c>
      <c r="I18" s="23" t="str">
        <f t="shared" si="2"/>
        <v>#REF!</v>
      </c>
      <c r="J18" s="23" t="str">
        <f t="shared" si="3"/>
        <v>#REF!</v>
      </c>
      <c r="K18" s="24" t="str">
        <f t="shared" si="4"/>
        <v>#REF!</v>
      </c>
      <c r="L18" s="25" t="str">
        <f t="shared" si="5"/>
        <v>[temple]109[/temple]</v>
      </c>
      <c r="M18" s="23" t="str">
        <f t="shared" si="6"/>
        <v>#REF!</v>
      </c>
      <c r="N18" s="23">
        <f t="shared" ref="N18:O18" si="22">B18-500</f>
        <v>217</v>
      </c>
      <c r="O18" s="23">
        <f t="shared" si="22"/>
        <v>76</v>
      </c>
      <c r="P18" s="23"/>
      <c r="Q18" s="23"/>
      <c r="R18" s="23"/>
      <c r="S18" s="23"/>
      <c r="T18" s="23"/>
      <c r="U18" s="23"/>
    </row>
    <row r="19">
      <c r="A19" s="19">
        <v>94.0</v>
      </c>
      <c r="B19" s="20">
        <v>658.0</v>
      </c>
      <c r="C19" s="20">
        <v>642.0</v>
      </c>
      <c r="D19" s="20" t="s">
        <v>47</v>
      </c>
      <c r="E19" s="21">
        <v>66.0</v>
      </c>
      <c r="F19" s="20" t="s">
        <v>48</v>
      </c>
      <c r="G19" s="20" t="s">
        <v>43</v>
      </c>
      <c r="H19" s="22" t="s">
        <v>49</v>
      </c>
      <c r="I19" s="23" t="str">
        <f t="shared" si="2"/>
        <v>#REF!</v>
      </c>
      <c r="J19" s="23" t="str">
        <f t="shared" si="3"/>
        <v>#REF!</v>
      </c>
      <c r="K19" s="24" t="str">
        <f t="shared" si="4"/>
        <v>#REF!</v>
      </c>
      <c r="L19" s="25" t="str">
        <f t="shared" si="5"/>
        <v>[temple]94[/temple]</v>
      </c>
      <c r="M19" s="23" t="str">
        <f t="shared" si="6"/>
        <v>#REF!</v>
      </c>
      <c r="N19" s="23">
        <f t="shared" ref="N19:O19" si="23">B19-500</f>
        <v>158</v>
      </c>
      <c r="O19" s="23">
        <f t="shared" si="23"/>
        <v>142</v>
      </c>
      <c r="P19" s="23"/>
      <c r="Q19" s="23"/>
      <c r="R19" s="23"/>
      <c r="S19" s="23"/>
      <c r="T19" s="23"/>
      <c r="U19" s="23"/>
    </row>
    <row r="20">
      <c r="A20" s="19">
        <v>138.0</v>
      </c>
      <c r="B20" s="20">
        <v>315.0</v>
      </c>
      <c r="C20" s="20">
        <v>327.0</v>
      </c>
      <c r="D20" s="20" t="s">
        <v>50</v>
      </c>
      <c r="E20" s="21">
        <v>33.0</v>
      </c>
      <c r="F20" s="20" t="s">
        <v>51</v>
      </c>
      <c r="G20" s="20" t="s">
        <v>43</v>
      </c>
      <c r="H20" s="22" t="s">
        <v>52</v>
      </c>
      <c r="I20" s="23" t="str">
        <f t="shared" si="2"/>
        <v>#REF!</v>
      </c>
      <c r="J20" s="23" t="str">
        <f t="shared" si="3"/>
        <v>#REF!</v>
      </c>
      <c r="K20" s="24" t="str">
        <f t="shared" si="4"/>
        <v>#REF!</v>
      </c>
      <c r="L20" s="25" t="str">
        <f t="shared" si="5"/>
        <v>[temple]138[/temple]</v>
      </c>
      <c r="M20" s="23" t="str">
        <f t="shared" si="6"/>
        <v>#REF!</v>
      </c>
      <c r="N20" s="23">
        <f t="shared" ref="N20:O20" si="24">B20-500</f>
        <v>-185</v>
      </c>
      <c r="O20" s="23">
        <f t="shared" si="24"/>
        <v>-173</v>
      </c>
      <c r="P20" s="23"/>
      <c r="Q20" s="23"/>
      <c r="R20" s="23"/>
      <c r="S20" s="23"/>
      <c r="T20" s="23"/>
      <c r="U20" s="23"/>
    </row>
    <row r="21">
      <c r="A21" s="19">
        <v>33.0</v>
      </c>
      <c r="B21" s="20">
        <v>627.0</v>
      </c>
      <c r="C21" s="20">
        <v>515.0</v>
      </c>
      <c r="D21" s="20" t="s">
        <v>53</v>
      </c>
      <c r="E21" s="21">
        <v>65.0</v>
      </c>
      <c r="F21" s="20" t="s">
        <v>51</v>
      </c>
      <c r="G21" s="20" t="s">
        <v>43</v>
      </c>
      <c r="H21" s="22" t="s">
        <v>52</v>
      </c>
      <c r="I21" s="23" t="str">
        <f t="shared" si="2"/>
        <v>#REF!</v>
      </c>
      <c r="J21" s="23" t="str">
        <f t="shared" si="3"/>
        <v>#REF!</v>
      </c>
      <c r="K21" s="24" t="str">
        <f t="shared" si="4"/>
        <v>#REF!</v>
      </c>
      <c r="L21" s="25" t="str">
        <f t="shared" si="5"/>
        <v>[temple]33[/temple]</v>
      </c>
      <c r="M21" s="23" t="str">
        <f t="shared" si="6"/>
        <v>#REF!</v>
      </c>
      <c r="N21" s="23">
        <f t="shared" ref="N21:O21" si="25">B21-500</f>
        <v>127</v>
      </c>
      <c r="O21" s="23">
        <f t="shared" si="25"/>
        <v>15</v>
      </c>
      <c r="P21" s="23"/>
      <c r="Q21" s="23"/>
      <c r="R21" s="23"/>
      <c r="S21" s="23"/>
      <c r="T21" s="23"/>
      <c r="U21" s="23"/>
    </row>
    <row r="22">
      <c r="A22" s="26">
        <v>115.0</v>
      </c>
      <c r="B22" s="27">
        <v>423.0</v>
      </c>
      <c r="C22" s="27">
        <v>285.0</v>
      </c>
      <c r="D22" s="27" t="s">
        <v>54</v>
      </c>
      <c r="E22" s="28">
        <v>42.0</v>
      </c>
      <c r="F22" s="27" t="s">
        <v>55</v>
      </c>
      <c r="G22" s="27" t="s">
        <v>56</v>
      </c>
      <c r="H22" s="29" t="s">
        <v>57</v>
      </c>
      <c r="I22" s="30" t="str">
        <f t="shared" si="2"/>
        <v>#REF!</v>
      </c>
      <c r="J22" s="30" t="str">
        <f t="shared" si="3"/>
        <v>#REF!</v>
      </c>
      <c r="K22" s="31" t="str">
        <f t="shared" si="4"/>
        <v>#REF!</v>
      </c>
      <c r="L22" s="32" t="str">
        <f t="shared" si="5"/>
        <v>[temple]115[/temple]</v>
      </c>
      <c r="M22" s="30" t="str">
        <f t="shared" si="6"/>
        <v>#REF!</v>
      </c>
      <c r="N22" s="30">
        <f t="shared" ref="N22:O22" si="26">B22-500</f>
        <v>-77</v>
      </c>
      <c r="O22" s="30">
        <f t="shared" si="26"/>
        <v>-215</v>
      </c>
      <c r="P22" s="30"/>
      <c r="Q22" s="30"/>
      <c r="R22" s="30"/>
      <c r="S22" s="30"/>
      <c r="T22" s="30"/>
      <c r="U22" s="30"/>
    </row>
    <row r="23">
      <c r="A23" s="26">
        <v>25.0</v>
      </c>
      <c r="B23" s="27">
        <v>480.0</v>
      </c>
      <c r="C23" s="27">
        <v>599.0</v>
      </c>
      <c r="D23" s="27" t="s">
        <v>58</v>
      </c>
      <c r="E23" s="28">
        <v>45.0</v>
      </c>
      <c r="F23" s="27" t="s">
        <v>55</v>
      </c>
      <c r="G23" s="27" t="s">
        <v>56</v>
      </c>
      <c r="H23" s="29" t="s">
        <v>57</v>
      </c>
      <c r="I23" s="30" t="str">
        <f t="shared" si="2"/>
        <v>#REF!</v>
      </c>
      <c r="J23" s="30" t="str">
        <f t="shared" si="3"/>
        <v>#REF!</v>
      </c>
      <c r="K23" s="31" t="str">
        <f t="shared" si="4"/>
        <v>#REF!</v>
      </c>
      <c r="L23" s="32" t="str">
        <f t="shared" si="5"/>
        <v>[temple]25[/temple]</v>
      </c>
      <c r="M23" s="30" t="str">
        <f t="shared" si="6"/>
        <v>#REF!</v>
      </c>
      <c r="N23" s="30">
        <f t="shared" ref="N23:O23" si="27">B23-500</f>
        <v>-20</v>
      </c>
      <c r="O23" s="30">
        <f t="shared" si="27"/>
        <v>99</v>
      </c>
      <c r="P23" s="30"/>
      <c r="Q23" s="30"/>
      <c r="R23" s="30"/>
      <c r="S23" s="30"/>
      <c r="T23" s="30"/>
      <c r="U23" s="30"/>
    </row>
    <row r="24">
      <c r="A24" s="26">
        <v>97.0</v>
      </c>
      <c r="B24" s="27">
        <v>629.0</v>
      </c>
      <c r="C24" s="27">
        <v>327.0</v>
      </c>
      <c r="D24" s="27" t="s">
        <v>59</v>
      </c>
      <c r="E24" s="28">
        <v>63.0</v>
      </c>
      <c r="F24" s="27" t="s">
        <v>55</v>
      </c>
      <c r="G24" s="27" t="s">
        <v>56</v>
      </c>
      <c r="H24" s="29" t="s">
        <v>57</v>
      </c>
      <c r="I24" s="30" t="str">
        <f t="shared" si="2"/>
        <v>#REF!</v>
      </c>
      <c r="J24" s="30" t="str">
        <f t="shared" si="3"/>
        <v>#REF!</v>
      </c>
      <c r="K24" s="31" t="str">
        <f t="shared" si="4"/>
        <v>#REF!</v>
      </c>
      <c r="L24" s="32" t="str">
        <f t="shared" si="5"/>
        <v>[temple]97[/temple]</v>
      </c>
      <c r="M24" s="30" t="str">
        <f t="shared" si="6"/>
        <v>#REF!</v>
      </c>
      <c r="N24" s="30">
        <f t="shared" ref="N24:O24" si="28">B24-500</f>
        <v>129</v>
      </c>
      <c r="O24" s="30">
        <f t="shared" si="28"/>
        <v>-173</v>
      </c>
      <c r="P24" s="30"/>
      <c r="Q24" s="30"/>
      <c r="R24" s="30"/>
      <c r="S24" s="30"/>
      <c r="T24" s="30"/>
      <c r="U24" s="30"/>
    </row>
    <row r="25">
      <c r="A25" s="26">
        <v>58.0</v>
      </c>
      <c r="B25" s="27">
        <v>346.0</v>
      </c>
      <c r="C25" s="27">
        <v>431.0</v>
      </c>
      <c r="D25" s="27" t="s">
        <v>60</v>
      </c>
      <c r="E25" s="28">
        <v>34.0</v>
      </c>
      <c r="F25" s="27" t="s">
        <v>61</v>
      </c>
      <c r="G25" s="27" t="s">
        <v>56</v>
      </c>
      <c r="H25" s="29" t="s">
        <v>62</v>
      </c>
      <c r="I25" s="30" t="str">
        <f t="shared" si="2"/>
        <v>#REF!</v>
      </c>
      <c r="J25" s="30" t="str">
        <f t="shared" si="3"/>
        <v>#REF!</v>
      </c>
      <c r="K25" s="31" t="str">
        <f t="shared" si="4"/>
        <v>#REF!</v>
      </c>
      <c r="L25" s="32" t="str">
        <f t="shared" si="5"/>
        <v>[temple]58[/temple]</v>
      </c>
      <c r="M25" s="30" t="str">
        <f t="shared" si="6"/>
        <v>#REF!</v>
      </c>
      <c r="N25" s="30">
        <f t="shared" ref="N25:O25" si="29">B25-500</f>
        <v>-154</v>
      </c>
      <c r="O25" s="30">
        <f t="shared" si="29"/>
        <v>-69</v>
      </c>
      <c r="P25" s="30"/>
      <c r="Q25" s="30"/>
      <c r="R25" s="30"/>
      <c r="S25" s="30"/>
      <c r="T25" s="30"/>
      <c r="U25" s="30"/>
    </row>
    <row r="26">
      <c r="A26" s="26">
        <v>106.0</v>
      </c>
      <c r="B26" s="27">
        <v>511.0</v>
      </c>
      <c r="C26" s="27">
        <v>252.0</v>
      </c>
      <c r="D26" s="27" t="s">
        <v>63</v>
      </c>
      <c r="E26" s="28">
        <v>52.0</v>
      </c>
      <c r="F26" s="27" t="s">
        <v>61</v>
      </c>
      <c r="G26" s="27" t="s">
        <v>56</v>
      </c>
      <c r="H26" s="29" t="s">
        <v>62</v>
      </c>
      <c r="I26" s="30" t="str">
        <f t="shared" si="2"/>
        <v>#REF!</v>
      </c>
      <c r="J26" s="30" t="str">
        <f t="shared" si="3"/>
        <v>#REF!</v>
      </c>
      <c r="K26" s="31" t="str">
        <f t="shared" si="4"/>
        <v>#REF!</v>
      </c>
      <c r="L26" s="32" t="str">
        <f t="shared" si="5"/>
        <v>[temple]106[/temple]</v>
      </c>
      <c r="M26" s="30" t="str">
        <f t="shared" si="6"/>
        <v>#REF!</v>
      </c>
      <c r="N26" s="30">
        <f t="shared" ref="N26:O26" si="30">B26-500</f>
        <v>11</v>
      </c>
      <c r="O26" s="30">
        <f t="shared" si="30"/>
        <v>-248</v>
      </c>
      <c r="P26" s="30"/>
      <c r="Q26" s="30"/>
      <c r="R26" s="30"/>
      <c r="S26" s="30"/>
      <c r="T26" s="30"/>
      <c r="U26" s="30"/>
    </row>
    <row r="27">
      <c r="A27" s="26">
        <v>57.0</v>
      </c>
      <c r="B27" s="27">
        <v>588.0</v>
      </c>
      <c r="C27" s="27">
        <v>345.0</v>
      </c>
      <c r="D27" s="27" t="s">
        <v>64</v>
      </c>
      <c r="E27" s="28">
        <v>53.0</v>
      </c>
      <c r="F27" s="27" t="s">
        <v>61</v>
      </c>
      <c r="G27" s="27" t="s">
        <v>56</v>
      </c>
      <c r="H27" s="29" t="s">
        <v>62</v>
      </c>
      <c r="I27" s="30" t="str">
        <f t="shared" si="2"/>
        <v>#REF!</v>
      </c>
      <c r="J27" s="30" t="str">
        <f t="shared" si="3"/>
        <v>#REF!</v>
      </c>
      <c r="K27" s="31" t="str">
        <f t="shared" si="4"/>
        <v>#REF!</v>
      </c>
      <c r="L27" s="32" t="str">
        <f t="shared" si="5"/>
        <v>[temple]57[/temple]</v>
      </c>
      <c r="M27" s="30" t="str">
        <f t="shared" si="6"/>
        <v>#REF!</v>
      </c>
      <c r="N27" s="30">
        <f t="shared" ref="N27:O27" si="31">B27-500</f>
        <v>88</v>
      </c>
      <c r="O27" s="30">
        <f t="shared" si="31"/>
        <v>-155</v>
      </c>
      <c r="P27" s="30"/>
      <c r="Q27" s="30"/>
      <c r="R27" s="30"/>
      <c r="S27" s="30"/>
      <c r="T27" s="30"/>
      <c r="U27" s="30"/>
    </row>
    <row r="28">
      <c r="A28" s="26">
        <v>47.0</v>
      </c>
      <c r="B28" s="27">
        <v>625.0</v>
      </c>
      <c r="C28" s="27">
        <v>582.0</v>
      </c>
      <c r="D28" s="27" t="s">
        <v>65</v>
      </c>
      <c r="E28" s="28">
        <v>65.0</v>
      </c>
      <c r="F28" s="27" t="s">
        <v>61</v>
      </c>
      <c r="G28" s="27" t="s">
        <v>56</v>
      </c>
      <c r="H28" s="29" t="s">
        <v>62</v>
      </c>
      <c r="I28" s="30" t="str">
        <f t="shared" si="2"/>
        <v>#REF!</v>
      </c>
      <c r="J28" s="30" t="str">
        <f t="shared" si="3"/>
        <v>#REF!</v>
      </c>
      <c r="K28" s="31" t="str">
        <f t="shared" si="4"/>
        <v>#REF!</v>
      </c>
      <c r="L28" s="32" t="str">
        <f t="shared" si="5"/>
        <v>[temple]47[/temple]</v>
      </c>
      <c r="M28" s="30" t="str">
        <f t="shared" si="6"/>
        <v>#REF!</v>
      </c>
      <c r="N28" s="30">
        <f t="shared" ref="N28:O28" si="32">B28-500</f>
        <v>125</v>
      </c>
      <c r="O28" s="30">
        <f t="shared" si="32"/>
        <v>82</v>
      </c>
      <c r="P28" s="30"/>
      <c r="Q28" s="30"/>
      <c r="R28" s="30"/>
      <c r="S28" s="30"/>
      <c r="T28" s="30"/>
      <c r="U28" s="30"/>
    </row>
    <row r="29">
      <c r="A29" s="26">
        <v>7.0</v>
      </c>
      <c r="B29" s="27">
        <v>479.0</v>
      </c>
      <c r="C29" s="27">
        <v>455.0</v>
      </c>
      <c r="D29" s="27" t="s">
        <v>66</v>
      </c>
      <c r="E29" s="28">
        <v>44.0</v>
      </c>
      <c r="F29" s="27" t="s">
        <v>67</v>
      </c>
      <c r="G29" s="27" t="s">
        <v>56</v>
      </c>
      <c r="H29" s="29" t="s">
        <v>68</v>
      </c>
      <c r="I29" s="30" t="str">
        <f t="shared" si="2"/>
        <v>#REF!</v>
      </c>
      <c r="J29" s="30" t="str">
        <f t="shared" si="3"/>
        <v>#REF!</v>
      </c>
      <c r="K29" s="31" t="str">
        <f t="shared" si="4"/>
        <v>#REF!</v>
      </c>
      <c r="L29" s="32" t="str">
        <f t="shared" si="5"/>
        <v>[temple]7[/temple]</v>
      </c>
      <c r="M29" s="30" t="str">
        <f t="shared" si="6"/>
        <v>#REF!</v>
      </c>
      <c r="N29" s="30">
        <f t="shared" ref="N29:O29" si="33">B29-500</f>
        <v>-21</v>
      </c>
      <c r="O29" s="30">
        <f t="shared" si="33"/>
        <v>-45</v>
      </c>
      <c r="P29" s="30"/>
      <c r="Q29" s="30"/>
      <c r="R29" s="30"/>
      <c r="S29" s="30"/>
      <c r="T29" s="30"/>
      <c r="U29" s="30"/>
    </row>
    <row r="30">
      <c r="A30" s="26">
        <v>31.0</v>
      </c>
      <c r="B30" s="27">
        <v>435.0</v>
      </c>
      <c r="C30" s="27">
        <v>609.0</v>
      </c>
      <c r="D30" s="27" t="s">
        <v>69</v>
      </c>
      <c r="E30" s="28">
        <v>46.0</v>
      </c>
      <c r="F30" s="27" t="s">
        <v>67</v>
      </c>
      <c r="G30" s="27" t="s">
        <v>56</v>
      </c>
      <c r="H30" s="29" t="s">
        <v>68</v>
      </c>
      <c r="I30" s="30" t="str">
        <f t="shared" si="2"/>
        <v>#REF!</v>
      </c>
      <c r="J30" s="30" t="str">
        <f t="shared" si="3"/>
        <v>#REF!</v>
      </c>
      <c r="K30" s="31" t="str">
        <f t="shared" si="4"/>
        <v>#REF!</v>
      </c>
      <c r="L30" s="32" t="str">
        <f t="shared" si="5"/>
        <v>[temple]31[/temple]</v>
      </c>
      <c r="M30" s="30" t="str">
        <f t="shared" si="6"/>
        <v>#REF!</v>
      </c>
      <c r="N30" s="30">
        <f t="shared" ref="N30:O30" si="34">B30-500</f>
        <v>-65</v>
      </c>
      <c r="O30" s="30">
        <f t="shared" si="34"/>
        <v>109</v>
      </c>
      <c r="P30" s="30"/>
      <c r="Q30" s="30"/>
      <c r="R30" s="30"/>
      <c r="S30" s="30"/>
      <c r="T30" s="30"/>
      <c r="U30" s="30"/>
    </row>
    <row r="31">
      <c r="A31" s="26">
        <v>27.0</v>
      </c>
      <c r="B31" s="27">
        <v>586.0</v>
      </c>
      <c r="C31" s="27">
        <v>598.0</v>
      </c>
      <c r="D31" s="27" t="s">
        <v>70</v>
      </c>
      <c r="E31" s="28">
        <v>55.0</v>
      </c>
      <c r="F31" s="27" t="s">
        <v>71</v>
      </c>
      <c r="G31" s="27" t="s">
        <v>56</v>
      </c>
      <c r="H31" s="29" t="s">
        <v>72</v>
      </c>
      <c r="I31" s="30" t="str">
        <f t="shared" si="2"/>
        <v>#REF!</v>
      </c>
      <c r="J31" s="30" t="str">
        <f t="shared" si="3"/>
        <v>#REF!</v>
      </c>
      <c r="K31" s="31" t="str">
        <f t="shared" si="4"/>
        <v>#REF!</v>
      </c>
      <c r="L31" s="32" t="str">
        <f t="shared" si="5"/>
        <v>[temple]27[/temple]</v>
      </c>
      <c r="M31" s="30" t="str">
        <f t="shared" si="6"/>
        <v>#REF!</v>
      </c>
      <c r="N31" s="30">
        <f t="shared" ref="N31:O31" si="35">B31-500</f>
        <v>86</v>
      </c>
      <c r="O31" s="30">
        <f t="shared" si="35"/>
        <v>98</v>
      </c>
      <c r="P31" s="30"/>
      <c r="Q31" s="30"/>
      <c r="R31" s="30"/>
      <c r="S31" s="30"/>
      <c r="T31" s="30"/>
      <c r="U31" s="30"/>
    </row>
    <row r="32">
      <c r="A32" s="26">
        <v>43.0</v>
      </c>
      <c r="B32" s="27">
        <v>562.0</v>
      </c>
      <c r="C32" s="27">
        <v>642.0</v>
      </c>
      <c r="D32" s="27" t="s">
        <v>73</v>
      </c>
      <c r="E32" s="28">
        <v>56.0</v>
      </c>
      <c r="F32" s="27" t="s">
        <v>71</v>
      </c>
      <c r="G32" s="27" t="s">
        <v>56</v>
      </c>
      <c r="H32" s="29" t="s">
        <v>72</v>
      </c>
      <c r="I32" s="30" t="str">
        <f t="shared" si="2"/>
        <v>#REF!</v>
      </c>
      <c r="J32" s="30" t="str">
        <f t="shared" si="3"/>
        <v>#REF!</v>
      </c>
      <c r="K32" s="31" t="str">
        <f t="shared" si="4"/>
        <v>#REF!</v>
      </c>
      <c r="L32" s="32" t="str">
        <f t="shared" si="5"/>
        <v>[temple]43[/temple]</v>
      </c>
      <c r="M32" s="30" t="str">
        <f t="shared" si="6"/>
        <v>#REF!</v>
      </c>
      <c r="N32" s="30">
        <f t="shared" ref="N32:O32" si="36">B32-500</f>
        <v>62</v>
      </c>
      <c r="O32" s="30">
        <f t="shared" si="36"/>
        <v>142</v>
      </c>
      <c r="P32" s="30"/>
      <c r="Q32" s="30"/>
      <c r="R32" s="30"/>
      <c r="S32" s="30"/>
      <c r="T32" s="30"/>
      <c r="U32" s="30"/>
    </row>
    <row r="33">
      <c r="A33" s="19">
        <v>144.0</v>
      </c>
      <c r="B33" s="20">
        <v>331.0</v>
      </c>
      <c r="C33" s="20">
        <v>712.0</v>
      </c>
      <c r="D33" s="20" t="s">
        <v>74</v>
      </c>
      <c r="E33" s="21">
        <v>37.0</v>
      </c>
      <c r="F33" s="20" t="s">
        <v>75</v>
      </c>
      <c r="G33" s="20" t="s">
        <v>43</v>
      </c>
      <c r="H33" s="22" t="s">
        <v>76</v>
      </c>
      <c r="I33" s="23" t="str">
        <f t="shared" si="2"/>
        <v>#REF!</v>
      </c>
      <c r="J33" s="23" t="str">
        <f t="shared" si="3"/>
        <v>#REF!</v>
      </c>
      <c r="K33" s="24" t="str">
        <f t="shared" si="4"/>
        <v>#REF!</v>
      </c>
      <c r="L33" s="25" t="str">
        <f t="shared" si="5"/>
        <v>[temple]144[/temple]</v>
      </c>
      <c r="M33" s="23" t="str">
        <f t="shared" si="6"/>
        <v>#REF!</v>
      </c>
      <c r="N33" s="23">
        <f t="shared" ref="N33:O33" si="37">B33-500</f>
        <v>-169</v>
      </c>
      <c r="O33" s="23">
        <f t="shared" si="37"/>
        <v>212</v>
      </c>
      <c r="P33" s="23"/>
      <c r="Q33" s="23"/>
      <c r="R33" s="23"/>
      <c r="S33" s="23"/>
      <c r="T33" s="23"/>
      <c r="U33" s="23"/>
    </row>
    <row r="34">
      <c r="A34" s="19">
        <v>35.0</v>
      </c>
      <c r="B34" s="20">
        <v>617.0</v>
      </c>
      <c r="C34" s="20">
        <v>459.0</v>
      </c>
      <c r="D34" s="20" t="s">
        <v>77</v>
      </c>
      <c r="E34" s="21">
        <v>64.0</v>
      </c>
      <c r="F34" s="20" t="s">
        <v>75</v>
      </c>
      <c r="G34" s="20" t="s">
        <v>43</v>
      </c>
      <c r="H34" s="22" t="s">
        <v>76</v>
      </c>
      <c r="I34" s="23" t="str">
        <f t="shared" si="2"/>
        <v>#REF!</v>
      </c>
      <c r="J34" s="23" t="str">
        <f t="shared" si="3"/>
        <v>#REF!</v>
      </c>
      <c r="K34" s="24" t="str">
        <f t="shared" si="4"/>
        <v>#REF!</v>
      </c>
      <c r="L34" s="25" t="str">
        <f t="shared" si="5"/>
        <v>[temple]35[/temple]</v>
      </c>
      <c r="M34" s="23" t="str">
        <f t="shared" si="6"/>
        <v>#REF!</v>
      </c>
      <c r="N34" s="23">
        <f t="shared" ref="N34:O34" si="38">B34-500</f>
        <v>117</v>
      </c>
      <c r="O34" s="23">
        <f t="shared" si="38"/>
        <v>-41</v>
      </c>
      <c r="P34" s="23"/>
      <c r="Q34" s="23"/>
      <c r="R34" s="23"/>
      <c r="S34" s="23"/>
      <c r="T34" s="23"/>
      <c r="U34" s="23"/>
    </row>
    <row r="35">
      <c r="A35" s="19">
        <v>76.0</v>
      </c>
      <c r="B35" s="20">
        <v>690.0</v>
      </c>
      <c r="C35" s="20">
        <v>564.0</v>
      </c>
      <c r="D35" s="20" t="s">
        <v>78</v>
      </c>
      <c r="E35" s="21">
        <v>65.0</v>
      </c>
      <c r="F35" s="20" t="s">
        <v>75</v>
      </c>
      <c r="G35" s="20" t="s">
        <v>43</v>
      </c>
      <c r="H35" s="22" t="s">
        <v>76</v>
      </c>
      <c r="I35" s="23" t="str">
        <f t="shared" si="2"/>
        <v>#REF!</v>
      </c>
      <c r="J35" s="23" t="str">
        <f t="shared" si="3"/>
        <v>#REF!</v>
      </c>
      <c r="K35" s="24" t="str">
        <f t="shared" si="4"/>
        <v>#REF!</v>
      </c>
      <c r="L35" s="25" t="str">
        <f t="shared" si="5"/>
        <v>[temple]76[/temple]</v>
      </c>
      <c r="M35" s="23" t="str">
        <f t="shared" si="6"/>
        <v>#REF!</v>
      </c>
      <c r="N35" s="23">
        <f t="shared" ref="N35:O35" si="39">B35-500</f>
        <v>190</v>
      </c>
      <c r="O35" s="23">
        <f t="shared" si="39"/>
        <v>64</v>
      </c>
      <c r="P35" s="23"/>
      <c r="Q35" s="23"/>
      <c r="R35" s="23"/>
      <c r="S35" s="23"/>
      <c r="T35" s="23"/>
      <c r="U35" s="23"/>
    </row>
    <row r="36" ht="19.5" customHeight="1">
      <c r="A36" s="26">
        <v>69.0</v>
      </c>
      <c r="B36" s="27">
        <v>440.0</v>
      </c>
      <c r="C36" s="27">
        <v>315.0</v>
      </c>
      <c r="D36" s="27" t="s">
        <v>79</v>
      </c>
      <c r="E36" s="28">
        <v>43.0</v>
      </c>
      <c r="F36" s="27" t="s">
        <v>80</v>
      </c>
      <c r="G36" s="27" t="s">
        <v>56</v>
      </c>
      <c r="H36" s="29" t="s">
        <v>81</v>
      </c>
      <c r="I36" s="30" t="str">
        <f t="shared" si="2"/>
        <v>#REF!</v>
      </c>
      <c r="J36" s="30" t="str">
        <f t="shared" si="3"/>
        <v>#REF!</v>
      </c>
      <c r="K36" s="31" t="str">
        <f t="shared" si="4"/>
        <v>#REF!</v>
      </c>
      <c r="L36" s="32" t="str">
        <f t="shared" si="5"/>
        <v>[temple]69[/temple]</v>
      </c>
      <c r="M36" s="30" t="str">
        <f t="shared" si="6"/>
        <v>#REF!</v>
      </c>
      <c r="N36" s="30">
        <f t="shared" ref="N36:O36" si="40">B36-500</f>
        <v>-60</v>
      </c>
      <c r="O36" s="30">
        <f t="shared" si="40"/>
        <v>-185</v>
      </c>
      <c r="P36" s="30"/>
      <c r="Q36" s="30"/>
      <c r="R36" s="30"/>
      <c r="S36" s="30"/>
      <c r="T36" s="30"/>
      <c r="U36" s="30"/>
    </row>
    <row r="37">
      <c r="A37" s="33">
        <v>92.0</v>
      </c>
      <c r="B37" s="34">
        <v>295.0</v>
      </c>
      <c r="C37" s="34">
        <v>462.0</v>
      </c>
      <c r="D37" s="34" t="s">
        <v>82</v>
      </c>
      <c r="E37" s="35">
        <v>24.0</v>
      </c>
      <c r="F37" s="34" t="s">
        <v>83</v>
      </c>
      <c r="G37" s="34" t="s">
        <v>84</v>
      </c>
      <c r="H37" s="36" t="s">
        <v>84</v>
      </c>
      <c r="I37" s="37" t="str">
        <f t="shared" si="2"/>
        <v>#REF!</v>
      </c>
      <c r="J37" s="37" t="str">
        <f t="shared" si="3"/>
        <v>#REF!</v>
      </c>
      <c r="K37" s="38" t="str">
        <f t="shared" si="4"/>
        <v>#REF!</v>
      </c>
      <c r="L37" s="39" t="str">
        <f t="shared" si="5"/>
        <v>[temple]92[/temple]</v>
      </c>
      <c r="M37" s="37" t="str">
        <f t="shared" si="6"/>
        <v>#REF!</v>
      </c>
      <c r="N37" s="37">
        <f t="shared" ref="N37:O37" si="41">B37-500</f>
        <v>-205</v>
      </c>
      <c r="O37" s="37">
        <f t="shared" si="41"/>
        <v>-38</v>
      </c>
      <c r="P37" s="37"/>
      <c r="Q37" s="37"/>
      <c r="R37" s="37"/>
      <c r="S37" s="37"/>
      <c r="T37" s="37"/>
      <c r="U37" s="37"/>
    </row>
    <row r="38">
      <c r="A38" s="33">
        <v>85.0</v>
      </c>
      <c r="B38" s="34">
        <v>355.0</v>
      </c>
      <c r="C38" s="34">
        <v>335.0</v>
      </c>
      <c r="D38" s="34" t="s">
        <v>85</v>
      </c>
      <c r="E38" s="35">
        <v>33.0</v>
      </c>
      <c r="F38" s="34" t="s">
        <v>83</v>
      </c>
      <c r="G38" s="34" t="s">
        <v>84</v>
      </c>
      <c r="H38" s="36" t="s">
        <v>84</v>
      </c>
      <c r="I38" s="37" t="str">
        <f t="shared" si="2"/>
        <v>#REF!</v>
      </c>
      <c r="J38" s="37" t="str">
        <f t="shared" si="3"/>
        <v>#REF!</v>
      </c>
      <c r="K38" s="38" t="str">
        <f t="shared" si="4"/>
        <v>#REF!</v>
      </c>
      <c r="L38" s="39" t="str">
        <f t="shared" si="5"/>
        <v>[temple]85[/temple]</v>
      </c>
      <c r="M38" s="37" t="str">
        <f t="shared" si="6"/>
        <v>#REF!</v>
      </c>
      <c r="N38" s="37">
        <f t="shared" ref="N38:O38" si="42">B38-500</f>
        <v>-145</v>
      </c>
      <c r="O38" s="37">
        <f t="shared" si="42"/>
        <v>-165</v>
      </c>
      <c r="P38" s="37"/>
      <c r="Q38" s="37"/>
      <c r="R38" s="37"/>
      <c r="S38" s="37"/>
      <c r="T38" s="37"/>
      <c r="U38" s="37"/>
    </row>
    <row r="39">
      <c r="A39" s="33">
        <v>50.0</v>
      </c>
      <c r="B39" s="34">
        <v>461.0</v>
      </c>
      <c r="C39" s="34">
        <v>639.0</v>
      </c>
      <c r="D39" s="34" t="s">
        <v>86</v>
      </c>
      <c r="E39" s="35">
        <v>46.0</v>
      </c>
      <c r="F39" s="34" t="s">
        <v>83</v>
      </c>
      <c r="G39" s="34" t="s">
        <v>84</v>
      </c>
      <c r="H39" s="36" t="s">
        <v>84</v>
      </c>
      <c r="I39" s="37" t="str">
        <f t="shared" si="2"/>
        <v>#REF!</v>
      </c>
      <c r="J39" s="37" t="str">
        <f t="shared" si="3"/>
        <v>#REF!</v>
      </c>
      <c r="K39" s="38" t="str">
        <f t="shared" si="4"/>
        <v>#REF!</v>
      </c>
      <c r="L39" s="39" t="str">
        <f t="shared" si="5"/>
        <v>[temple]50[/temple]</v>
      </c>
      <c r="M39" s="37" t="str">
        <f t="shared" si="6"/>
        <v>#REF!</v>
      </c>
      <c r="N39" s="37">
        <f t="shared" ref="N39:O39" si="43">B39-500</f>
        <v>-39</v>
      </c>
      <c r="O39" s="37">
        <f t="shared" si="43"/>
        <v>139</v>
      </c>
      <c r="P39" s="37"/>
      <c r="Q39" s="37"/>
      <c r="R39" s="37"/>
      <c r="S39" s="37"/>
      <c r="T39" s="37"/>
      <c r="U39" s="37"/>
    </row>
    <row r="40">
      <c r="A40" s="33">
        <v>3.0</v>
      </c>
      <c r="B40" s="34">
        <v>513.0</v>
      </c>
      <c r="C40" s="34">
        <v>534.0</v>
      </c>
      <c r="D40" s="34" t="s">
        <v>87</v>
      </c>
      <c r="E40" s="35">
        <v>55.0</v>
      </c>
      <c r="F40" s="34" t="s">
        <v>83</v>
      </c>
      <c r="G40" s="34" t="s">
        <v>84</v>
      </c>
      <c r="H40" s="36" t="s">
        <v>84</v>
      </c>
      <c r="I40" s="37" t="str">
        <f t="shared" si="2"/>
        <v>#REF!</v>
      </c>
      <c r="J40" s="37" t="str">
        <f t="shared" si="3"/>
        <v>#REF!</v>
      </c>
      <c r="K40" s="38" t="str">
        <f t="shared" si="4"/>
        <v>#REF!</v>
      </c>
      <c r="L40" s="39" t="str">
        <f t="shared" si="5"/>
        <v>[temple]3[/temple]</v>
      </c>
      <c r="M40" s="37" t="str">
        <f t="shared" si="6"/>
        <v>#REF!</v>
      </c>
      <c r="N40" s="37">
        <f t="shared" ref="N40:O40" si="44">B40-500</f>
        <v>13</v>
      </c>
      <c r="O40" s="37">
        <f t="shared" si="44"/>
        <v>34</v>
      </c>
      <c r="P40" s="37"/>
      <c r="Q40" s="37"/>
      <c r="R40" s="37"/>
      <c r="S40" s="37"/>
      <c r="T40" s="37"/>
      <c r="U40" s="37"/>
    </row>
    <row r="41">
      <c r="A41" s="33">
        <v>64.0</v>
      </c>
      <c r="B41" s="34">
        <v>538.0</v>
      </c>
      <c r="C41" s="34">
        <v>677.0</v>
      </c>
      <c r="D41" s="34" t="s">
        <v>88</v>
      </c>
      <c r="E41" s="35">
        <v>56.0</v>
      </c>
      <c r="F41" s="34" t="s">
        <v>83</v>
      </c>
      <c r="G41" s="34" t="s">
        <v>84</v>
      </c>
      <c r="H41" s="36" t="s">
        <v>84</v>
      </c>
      <c r="I41" s="37" t="str">
        <f t="shared" si="2"/>
        <v>#REF!</v>
      </c>
      <c r="J41" s="37" t="str">
        <f t="shared" si="3"/>
        <v>#REF!</v>
      </c>
      <c r="K41" s="38" t="str">
        <f t="shared" si="4"/>
        <v>#REF!</v>
      </c>
      <c r="L41" s="39" t="str">
        <f t="shared" si="5"/>
        <v>[temple]64[/temple]</v>
      </c>
      <c r="M41" s="37" t="str">
        <f t="shared" si="6"/>
        <v>#REF!</v>
      </c>
      <c r="N41" s="37">
        <f t="shared" ref="N41:O41" si="45">B41-500</f>
        <v>38</v>
      </c>
      <c r="O41" s="37">
        <f t="shared" si="45"/>
        <v>177</v>
      </c>
      <c r="P41" s="37"/>
      <c r="Q41" s="37"/>
      <c r="R41" s="37"/>
      <c r="S41" s="37"/>
      <c r="T41" s="37"/>
      <c r="U41" s="37"/>
    </row>
    <row r="42">
      <c r="A42" s="12">
        <v>90.0</v>
      </c>
      <c r="B42" s="13">
        <v>680.0</v>
      </c>
      <c r="C42" s="13">
        <v>396.0</v>
      </c>
      <c r="D42" s="13" t="s">
        <v>89</v>
      </c>
      <c r="E42" s="14">
        <v>63.0</v>
      </c>
      <c r="F42" s="13" t="s">
        <v>83</v>
      </c>
      <c r="G42" s="13" t="s">
        <v>24</v>
      </c>
      <c r="H42" s="15" t="s">
        <v>84</v>
      </c>
      <c r="I42" s="16" t="str">
        <f t="shared" si="2"/>
        <v>#REF!</v>
      </c>
      <c r="J42" s="16" t="str">
        <f t="shared" si="3"/>
        <v>#REF!</v>
      </c>
      <c r="K42" s="17" t="str">
        <f t="shared" si="4"/>
        <v>#REF!</v>
      </c>
      <c r="L42" s="18" t="str">
        <f t="shared" si="5"/>
        <v>[temple]90[/temple]</v>
      </c>
      <c r="M42" s="16" t="str">
        <f t="shared" si="6"/>
        <v>#REF!</v>
      </c>
      <c r="N42" s="16">
        <f t="shared" ref="N42:O42" si="46">B42-500</f>
        <v>180</v>
      </c>
      <c r="O42" s="16">
        <f t="shared" si="46"/>
        <v>-104</v>
      </c>
      <c r="P42" s="16"/>
      <c r="Q42" s="16"/>
      <c r="R42" s="16"/>
      <c r="S42" s="16"/>
      <c r="T42" s="16"/>
      <c r="U42" s="16"/>
    </row>
    <row r="43">
      <c r="A43" s="33">
        <v>22.0</v>
      </c>
      <c r="B43" s="34">
        <v>607.0</v>
      </c>
      <c r="C43" s="34">
        <v>496.0</v>
      </c>
      <c r="D43" s="34" t="s">
        <v>90</v>
      </c>
      <c r="E43" s="35">
        <v>64.0</v>
      </c>
      <c r="F43" s="34" t="s">
        <v>83</v>
      </c>
      <c r="G43" s="34" t="s">
        <v>84</v>
      </c>
      <c r="H43" s="36" t="s">
        <v>84</v>
      </c>
      <c r="I43" s="37" t="str">
        <f t="shared" si="2"/>
        <v>#REF!</v>
      </c>
      <c r="J43" s="37" t="str">
        <f t="shared" si="3"/>
        <v>#REF!</v>
      </c>
      <c r="K43" s="38" t="str">
        <f t="shared" si="4"/>
        <v>#REF!</v>
      </c>
      <c r="L43" s="39" t="str">
        <f t="shared" si="5"/>
        <v>[temple]22[/temple]</v>
      </c>
      <c r="M43" s="37" t="str">
        <f t="shared" si="6"/>
        <v>#REF!</v>
      </c>
      <c r="N43" s="37">
        <f t="shared" ref="N43:O43" si="47">B43-500</f>
        <v>107</v>
      </c>
      <c r="O43" s="37">
        <f t="shared" si="47"/>
        <v>-4</v>
      </c>
      <c r="P43" s="37"/>
      <c r="Q43" s="37"/>
      <c r="R43" s="37"/>
      <c r="S43" s="37"/>
      <c r="T43" s="37"/>
      <c r="U43" s="37"/>
    </row>
    <row r="44">
      <c r="A44" s="33">
        <v>49.0</v>
      </c>
      <c r="B44" s="34">
        <v>652.0</v>
      </c>
      <c r="C44" s="34">
        <v>519.0</v>
      </c>
      <c r="D44" s="34" t="s">
        <v>91</v>
      </c>
      <c r="E44" s="35">
        <v>65.0</v>
      </c>
      <c r="F44" s="34" t="s">
        <v>83</v>
      </c>
      <c r="G44" s="34" t="s">
        <v>84</v>
      </c>
      <c r="H44" s="36" t="s">
        <v>84</v>
      </c>
      <c r="I44" s="37" t="str">
        <f t="shared" si="2"/>
        <v>#REF!</v>
      </c>
      <c r="J44" s="37" t="str">
        <f t="shared" si="3"/>
        <v>#REF!</v>
      </c>
      <c r="K44" s="38" t="str">
        <f t="shared" si="4"/>
        <v>#REF!</v>
      </c>
      <c r="L44" s="39" t="str">
        <f t="shared" si="5"/>
        <v>[temple]49[/temple]</v>
      </c>
      <c r="M44" s="37" t="str">
        <f t="shared" si="6"/>
        <v>#REF!</v>
      </c>
      <c r="N44" s="37">
        <f t="shared" ref="N44:O44" si="48">B44-500</f>
        <v>152</v>
      </c>
      <c r="O44" s="37">
        <f t="shared" si="48"/>
        <v>19</v>
      </c>
      <c r="P44" s="37"/>
      <c r="Q44" s="37"/>
      <c r="R44" s="37"/>
      <c r="S44" s="37"/>
      <c r="T44" s="37"/>
      <c r="U44" s="37"/>
    </row>
    <row r="45">
      <c r="A45" s="33">
        <v>68.0</v>
      </c>
      <c r="B45" s="34">
        <v>606.0</v>
      </c>
      <c r="C45" s="34">
        <v>648.0</v>
      </c>
      <c r="D45" s="34" t="s">
        <v>92</v>
      </c>
      <c r="E45" s="35">
        <v>66.0</v>
      </c>
      <c r="F45" s="34" t="s">
        <v>83</v>
      </c>
      <c r="G45" s="34" t="s">
        <v>84</v>
      </c>
      <c r="H45" s="36" t="s">
        <v>84</v>
      </c>
      <c r="I45" s="37" t="str">
        <f t="shared" si="2"/>
        <v>#REF!</v>
      </c>
      <c r="J45" s="37" t="str">
        <f t="shared" si="3"/>
        <v>#REF!</v>
      </c>
      <c r="K45" s="38" t="str">
        <f t="shared" si="4"/>
        <v>#REF!</v>
      </c>
      <c r="L45" s="39" t="str">
        <f t="shared" si="5"/>
        <v>[temple]68[/temple]</v>
      </c>
      <c r="M45" s="37" t="str">
        <f t="shared" si="6"/>
        <v>#REF!</v>
      </c>
      <c r="N45" s="37">
        <f t="shared" ref="N45:O45" si="49">B45-500</f>
        <v>106</v>
      </c>
      <c r="O45" s="37">
        <f t="shared" si="49"/>
        <v>148</v>
      </c>
      <c r="P45" s="37"/>
      <c r="Q45" s="37"/>
      <c r="R45" s="37"/>
      <c r="S45" s="37"/>
      <c r="T45" s="37"/>
      <c r="U45" s="37"/>
    </row>
    <row r="46">
      <c r="A46" s="12">
        <v>112.0</v>
      </c>
      <c r="B46" s="13">
        <v>700.0</v>
      </c>
      <c r="C46" s="13">
        <v>393.0</v>
      </c>
      <c r="D46" s="13" t="s">
        <v>93</v>
      </c>
      <c r="E46" s="14">
        <v>73.0</v>
      </c>
      <c r="F46" s="13" t="s">
        <v>83</v>
      </c>
      <c r="G46" s="13" t="s">
        <v>24</v>
      </c>
      <c r="H46" s="15" t="s">
        <v>84</v>
      </c>
      <c r="I46" s="16" t="str">
        <f t="shared" si="2"/>
        <v>#REF!</v>
      </c>
      <c r="J46" s="16" t="str">
        <f t="shared" si="3"/>
        <v>#REF!</v>
      </c>
      <c r="K46" s="17" t="str">
        <f t="shared" si="4"/>
        <v>#REF!</v>
      </c>
      <c r="L46" s="18" t="str">
        <f t="shared" si="5"/>
        <v>[temple]112[/temple]</v>
      </c>
      <c r="M46" s="16" t="str">
        <f t="shared" si="6"/>
        <v>#REF!</v>
      </c>
      <c r="N46" s="16">
        <f t="shared" ref="N46:O46" si="50">B46-500</f>
        <v>200</v>
      </c>
      <c r="O46" s="16">
        <f t="shared" si="50"/>
        <v>-107</v>
      </c>
      <c r="P46" s="16"/>
      <c r="Q46" s="16"/>
      <c r="R46" s="16"/>
      <c r="S46" s="16"/>
      <c r="T46" s="16"/>
      <c r="U46" s="16"/>
    </row>
    <row r="47">
      <c r="A47" s="40">
        <v>67.0</v>
      </c>
      <c r="B47" s="41">
        <v>304.0</v>
      </c>
      <c r="C47" s="41">
        <v>544.0</v>
      </c>
      <c r="D47" s="41" t="s">
        <v>94</v>
      </c>
      <c r="E47" s="42">
        <v>35.0</v>
      </c>
      <c r="F47" s="41" t="s">
        <v>95</v>
      </c>
      <c r="G47" s="41" t="s">
        <v>96</v>
      </c>
      <c r="H47" s="43" t="s">
        <v>97</v>
      </c>
      <c r="I47" s="44" t="str">
        <f t="shared" si="2"/>
        <v>#REF!</v>
      </c>
      <c r="J47" s="44" t="str">
        <f t="shared" si="3"/>
        <v>#REF!</v>
      </c>
      <c r="K47" s="45" t="str">
        <f t="shared" si="4"/>
        <v>#REF!</v>
      </c>
      <c r="L47" s="46" t="str">
        <f t="shared" si="5"/>
        <v>[temple]67[/temple]</v>
      </c>
      <c r="M47" s="44" t="str">
        <f t="shared" si="6"/>
        <v>#REF!</v>
      </c>
      <c r="N47" s="44">
        <f t="shared" ref="N47:O47" si="51">B47-500</f>
        <v>-196</v>
      </c>
      <c r="O47" s="44">
        <f t="shared" si="51"/>
        <v>44</v>
      </c>
      <c r="P47" s="44"/>
      <c r="Q47" s="44"/>
      <c r="R47" s="44"/>
      <c r="S47" s="44"/>
      <c r="T47" s="44"/>
      <c r="U47" s="44"/>
    </row>
    <row r="48">
      <c r="A48" s="40">
        <v>72.0</v>
      </c>
      <c r="B48" s="41">
        <v>461.0</v>
      </c>
      <c r="C48" s="41">
        <v>696.0</v>
      </c>
      <c r="D48" s="41" t="s">
        <v>98</v>
      </c>
      <c r="E48" s="42">
        <v>46.0</v>
      </c>
      <c r="F48" s="41" t="s">
        <v>95</v>
      </c>
      <c r="G48" s="41" t="s">
        <v>96</v>
      </c>
      <c r="H48" s="43" t="s">
        <v>97</v>
      </c>
      <c r="I48" s="44" t="str">
        <f t="shared" si="2"/>
        <v>#REF!</v>
      </c>
      <c r="J48" s="44" t="str">
        <f t="shared" si="3"/>
        <v>#REF!</v>
      </c>
      <c r="K48" s="45" t="str">
        <f t="shared" si="4"/>
        <v>#REF!</v>
      </c>
      <c r="L48" s="46" t="str">
        <f t="shared" si="5"/>
        <v>[temple]72[/temple]</v>
      </c>
      <c r="M48" s="44" t="str">
        <f t="shared" si="6"/>
        <v>#REF!</v>
      </c>
      <c r="N48" s="44">
        <f t="shared" ref="N48:O48" si="52">B48-500</f>
        <v>-39</v>
      </c>
      <c r="O48" s="44">
        <f t="shared" si="52"/>
        <v>196</v>
      </c>
      <c r="P48" s="44"/>
      <c r="Q48" s="44"/>
      <c r="R48" s="44"/>
      <c r="S48" s="44"/>
      <c r="T48" s="44"/>
      <c r="U48" s="44"/>
    </row>
    <row r="49">
      <c r="A49" s="40">
        <v>79.0</v>
      </c>
      <c r="B49" s="41">
        <v>516.0</v>
      </c>
      <c r="C49" s="41">
        <v>682.0</v>
      </c>
      <c r="D49" s="41" t="s">
        <v>99</v>
      </c>
      <c r="E49" s="42">
        <v>56.0</v>
      </c>
      <c r="F49" s="41" t="s">
        <v>95</v>
      </c>
      <c r="G49" s="41" t="s">
        <v>96</v>
      </c>
      <c r="H49" s="43" t="s">
        <v>97</v>
      </c>
      <c r="I49" s="44" t="str">
        <f t="shared" si="2"/>
        <v>#REF!</v>
      </c>
      <c r="J49" s="44" t="str">
        <f t="shared" si="3"/>
        <v>#REF!</v>
      </c>
      <c r="K49" s="45" t="str">
        <f t="shared" si="4"/>
        <v>#REF!</v>
      </c>
      <c r="L49" s="46" t="str">
        <f t="shared" si="5"/>
        <v>[temple]79[/temple]</v>
      </c>
      <c r="M49" s="44" t="str">
        <f t="shared" si="6"/>
        <v>#REF!</v>
      </c>
      <c r="N49" s="44">
        <f t="shared" ref="N49:O49" si="53">B49-500</f>
        <v>16</v>
      </c>
      <c r="O49" s="44">
        <f t="shared" si="53"/>
        <v>182</v>
      </c>
      <c r="P49" s="44"/>
      <c r="Q49" s="44"/>
      <c r="R49" s="44"/>
      <c r="S49" s="44"/>
      <c r="T49" s="44"/>
      <c r="U49" s="44"/>
    </row>
    <row r="50">
      <c r="A50" s="40">
        <v>114.0</v>
      </c>
      <c r="B50" s="41">
        <v>580.0</v>
      </c>
      <c r="C50" s="41">
        <v>284.0</v>
      </c>
      <c r="D50" s="41" t="s">
        <v>100</v>
      </c>
      <c r="E50" s="42">
        <v>52.0</v>
      </c>
      <c r="F50" s="41" t="s">
        <v>101</v>
      </c>
      <c r="G50" s="41" t="s">
        <v>96</v>
      </c>
      <c r="H50" s="43" t="s">
        <v>102</v>
      </c>
      <c r="I50" s="44" t="str">
        <f t="shared" si="2"/>
        <v>#REF!</v>
      </c>
      <c r="J50" s="44" t="str">
        <f t="shared" si="3"/>
        <v>#REF!</v>
      </c>
      <c r="K50" s="45" t="str">
        <f t="shared" si="4"/>
        <v>#REF!</v>
      </c>
      <c r="L50" s="46" t="str">
        <f t="shared" si="5"/>
        <v>[temple]114[/temple]</v>
      </c>
      <c r="M50" s="44" t="str">
        <f t="shared" si="6"/>
        <v>#REF!</v>
      </c>
      <c r="N50" s="44">
        <f t="shared" ref="N50:O50" si="54">B50-500</f>
        <v>80</v>
      </c>
      <c r="O50" s="44">
        <f t="shared" si="54"/>
        <v>-216</v>
      </c>
      <c r="P50" s="44"/>
      <c r="Q50" s="44"/>
      <c r="R50" s="44"/>
      <c r="S50" s="44"/>
      <c r="T50" s="44"/>
      <c r="U50" s="44"/>
    </row>
    <row r="51">
      <c r="A51" s="40">
        <v>44.0</v>
      </c>
      <c r="B51" s="41">
        <v>581.0</v>
      </c>
      <c r="C51" s="41">
        <v>631.0</v>
      </c>
      <c r="D51" s="41" t="s">
        <v>103</v>
      </c>
      <c r="E51" s="42">
        <v>56.0</v>
      </c>
      <c r="F51" s="41" t="s">
        <v>101</v>
      </c>
      <c r="G51" s="41" t="s">
        <v>96</v>
      </c>
      <c r="H51" s="43" t="s">
        <v>102</v>
      </c>
      <c r="I51" s="44" t="str">
        <f t="shared" si="2"/>
        <v>#REF!</v>
      </c>
      <c r="J51" s="44" t="str">
        <f t="shared" si="3"/>
        <v>#REF!</v>
      </c>
      <c r="K51" s="45" t="str">
        <f t="shared" si="4"/>
        <v>#REF!</v>
      </c>
      <c r="L51" s="46" t="str">
        <f t="shared" si="5"/>
        <v>[temple]44[/temple]</v>
      </c>
      <c r="M51" s="44" t="str">
        <f t="shared" si="6"/>
        <v>#REF!</v>
      </c>
      <c r="N51" s="44">
        <f t="shared" ref="N51:O51" si="55">B51-500</f>
        <v>81</v>
      </c>
      <c r="O51" s="44">
        <f t="shared" si="55"/>
        <v>131</v>
      </c>
      <c r="P51" s="44"/>
      <c r="Q51" s="44"/>
      <c r="R51" s="44"/>
      <c r="S51" s="44"/>
      <c r="T51" s="44"/>
      <c r="U51" s="44"/>
    </row>
    <row r="52">
      <c r="A52" s="40">
        <v>128.0</v>
      </c>
      <c r="B52" s="41">
        <v>703.0</v>
      </c>
      <c r="C52" s="41">
        <v>656.0</v>
      </c>
      <c r="D52" s="41" t="s">
        <v>104</v>
      </c>
      <c r="E52" s="42">
        <v>76.0</v>
      </c>
      <c r="F52" s="41" t="s">
        <v>101</v>
      </c>
      <c r="G52" s="41" t="s">
        <v>96</v>
      </c>
      <c r="H52" s="43" t="s">
        <v>102</v>
      </c>
      <c r="I52" s="44" t="str">
        <f t="shared" si="2"/>
        <v>#REF!</v>
      </c>
      <c r="J52" s="44" t="str">
        <f t="shared" si="3"/>
        <v>#REF!</v>
      </c>
      <c r="K52" s="45" t="str">
        <f t="shared" si="4"/>
        <v>#REF!</v>
      </c>
      <c r="L52" s="46" t="str">
        <f t="shared" si="5"/>
        <v>[temple]128[/temple]</v>
      </c>
      <c r="M52" s="44" t="str">
        <f t="shared" si="6"/>
        <v>#REF!</v>
      </c>
      <c r="N52" s="44">
        <f t="shared" ref="N52:O52" si="56">B52-500</f>
        <v>203</v>
      </c>
      <c r="O52" s="44">
        <f t="shared" si="56"/>
        <v>156</v>
      </c>
      <c r="P52" s="44"/>
      <c r="Q52" s="44"/>
      <c r="R52" s="44"/>
      <c r="S52" s="44"/>
      <c r="T52" s="44"/>
      <c r="U52" s="44"/>
    </row>
    <row r="53">
      <c r="A53" s="40">
        <v>99.0</v>
      </c>
      <c r="B53" s="41">
        <v>552.0</v>
      </c>
      <c r="C53" s="41">
        <v>707.0</v>
      </c>
      <c r="D53" s="41" t="s">
        <v>105</v>
      </c>
      <c r="E53" s="42">
        <v>57.0</v>
      </c>
      <c r="F53" s="41" t="s">
        <v>106</v>
      </c>
      <c r="G53" s="41" t="s">
        <v>96</v>
      </c>
      <c r="H53" s="43" t="s">
        <v>107</v>
      </c>
      <c r="I53" s="44" t="str">
        <f t="shared" si="2"/>
        <v>#REF!</v>
      </c>
      <c r="J53" s="44" t="str">
        <f t="shared" si="3"/>
        <v>#REF!</v>
      </c>
      <c r="K53" s="45" t="str">
        <f t="shared" si="4"/>
        <v>#REF!</v>
      </c>
      <c r="L53" s="46" t="str">
        <f t="shared" si="5"/>
        <v>[temple]99[/temple]</v>
      </c>
      <c r="M53" s="44" t="str">
        <f t="shared" si="6"/>
        <v>#REF!</v>
      </c>
      <c r="N53" s="44">
        <f t="shared" ref="N53:O53" si="57">B53-500</f>
        <v>52</v>
      </c>
      <c r="O53" s="44">
        <f t="shared" si="57"/>
        <v>207</v>
      </c>
      <c r="P53" s="44"/>
      <c r="Q53" s="44"/>
      <c r="R53" s="44"/>
      <c r="S53" s="44"/>
      <c r="T53" s="44"/>
      <c r="U53" s="44"/>
    </row>
    <row r="54">
      <c r="A54" s="19">
        <v>82.0</v>
      </c>
      <c r="B54" s="20">
        <v>563.0</v>
      </c>
      <c r="C54" s="20">
        <v>684.0</v>
      </c>
      <c r="D54" s="19" t="s">
        <v>108</v>
      </c>
      <c r="E54" s="21">
        <v>56.0</v>
      </c>
      <c r="F54" s="20" t="s">
        <v>109</v>
      </c>
      <c r="G54" s="23"/>
      <c r="H54" s="22" t="s">
        <v>110</v>
      </c>
      <c r="I54" s="23" t="str">
        <f t="shared" si="2"/>
        <v>#REF!</v>
      </c>
      <c r="J54" s="23" t="str">
        <f t="shared" si="3"/>
        <v>#REF!</v>
      </c>
      <c r="K54" s="24" t="str">
        <f t="shared" si="4"/>
        <v>#REF!</v>
      </c>
      <c r="L54" s="25" t="str">
        <f t="shared" si="5"/>
        <v>[temple]82[/temple]</v>
      </c>
      <c r="M54" s="23" t="str">
        <f t="shared" si="6"/>
        <v>#REF!</v>
      </c>
      <c r="N54" s="23">
        <f t="shared" ref="N54:O54" si="58">B54-500</f>
        <v>63</v>
      </c>
      <c r="O54" s="23">
        <f t="shared" si="58"/>
        <v>184</v>
      </c>
      <c r="P54" s="23"/>
      <c r="Q54" s="23"/>
      <c r="R54" s="23"/>
      <c r="S54" s="23"/>
      <c r="T54" s="23"/>
      <c r="U54" s="23"/>
    </row>
    <row r="55">
      <c r="A55" s="47"/>
      <c r="E55" s="47"/>
      <c r="F55" s="48"/>
      <c r="H55" s="49"/>
      <c r="I55" s="48"/>
      <c r="K55" s="50"/>
    </row>
    <row r="56">
      <c r="A56" s="47"/>
      <c r="E56" s="47"/>
      <c r="F56" s="48"/>
      <c r="H56" s="49"/>
      <c r="I56" s="48"/>
      <c r="K56" s="50"/>
    </row>
    <row r="57">
      <c r="A57" s="47"/>
      <c r="E57" s="47"/>
      <c r="F57" s="48"/>
      <c r="H57" s="49"/>
      <c r="I57" s="48"/>
      <c r="K57" s="50"/>
    </row>
    <row r="58">
      <c r="A58" s="47"/>
      <c r="E58" s="47"/>
      <c r="F58" s="48"/>
      <c r="H58" s="49"/>
      <c r="I58" s="48"/>
      <c r="K58" s="50"/>
    </row>
    <row r="59">
      <c r="A59" s="47"/>
      <c r="E59" s="47"/>
      <c r="F59" s="48"/>
      <c r="H59" s="49"/>
      <c r="I59" s="48"/>
      <c r="K59" s="50"/>
    </row>
    <row r="60">
      <c r="A60" s="47"/>
      <c r="E60" s="47"/>
      <c r="F60" s="48"/>
      <c r="H60" s="49"/>
      <c r="I60" s="48"/>
      <c r="K60" s="50"/>
    </row>
    <row r="61">
      <c r="A61" s="47"/>
      <c r="E61" s="47"/>
      <c r="F61" s="48"/>
      <c r="H61" s="49"/>
      <c r="I61" s="48"/>
      <c r="K61" s="50"/>
    </row>
    <row r="62">
      <c r="A62" s="47"/>
      <c r="E62" s="47"/>
      <c r="F62" s="48"/>
      <c r="H62" s="49"/>
      <c r="I62" s="48"/>
      <c r="K62" s="50"/>
    </row>
    <row r="63">
      <c r="A63" s="47"/>
      <c r="E63" s="47"/>
      <c r="F63" s="48"/>
      <c r="H63" s="49"/>
      <c r="I63" s="48"/>
      <c r="K63" s="50"/>
    </row>
    <row r="64">
      <c r="A64" s="47"/>
      <c r="E64" s="47"/>
      <c r="F64" s="48"/>
      <c r="H64" s="49"/>
      <c r="I64" s="48"/>
      <c r="K64" s="50"/>
    </row>
    <row r="65">
      <c r="A65" s="47"/>
      <c r="E65" s="47"/>
      <c r="F65" s="48"/>
      <c r="H65" s="49"/>
      <c r="I65" s="48"/>
      <c r="K65" s="50"/>
    </row>
    <row r="66">
      <c r="A66" s="47"/>
      <c r="E66" s="47"/>
      <c r="F66" s="48"/>
      <c r="H66" s="49"/>
      <c r="I66" s="48"/>
      <c r="K66" s="50"/>
    </row>
    <row r="67">
      <c r="A67" s="47"/>
      <c r="E67" s="47"/>
      <c r="F67" s="48"/>
      <c r="H67" s="49"/>
      <c r="I67" s="48"/>
      <c r="K67" s="50"/>
    </row>
    <row r="68">
      <c r="A68" s="47"/>
      <c r="E68" s="47"/>
      <c r="F68" s="48"/>
      <c r="H68" s="49"/>
      <c r="I68" s="48"/>
      <c r="K68" s="50"/>
    </row>
    <row r="69">
      <c r="A69" s="47"/>
      <c r="E69" s="47"/>
      <c r="F69" s="48"/>
      <c r="H69" s="49"/>
      <c r="I69" s="48"/>
      <c r="K69" s="50"/>
    </row>
    <row r="70">
      <c r="A70" s="47"/>
      <c r="E70" s="47"/>
      <c r="F70" s="48"/>
      <c r="H70" s="49"/>
      <c r="I70" s="48"/>
      <c r="K70" s="50"/>
    </row>
    <row r="71">
      <c r="A71" s="47"/>
      <c r="E71" s="47"/>
      <c r="F71" s="48"/>
      <c r="H71" s="49"/>
      <c r="I71" s="48"/>
      <c r="K71" s="50"/>
    </row>
    <row r="72">
      <c r="A72" s="47"/>
      <c r="E72" s="47"/>
      <c r="F72" s="48"/>
      <c r="H72" s="49"/>
      <c r="I72" s="48"/>
      <c r="K72" s="50"/>
    </row>
    <row r="73">
      <c r="A73" s="47"/>
      <c r="E73" s="47"/>
      <c r="F73" s="48"/>
      <c r="H73" s="49"/>
      <c r="I73" s="48"/>
      <c r="K73" s="50"/>
    </row>
    <row r="74">
      <c r="A74" s="47"/>
      <c r="E74" s="47"/>
      <c r="F74" s="48"/>
      <c r="H74" s="49"/>
      <c r="I74" s="48"/>
      <c r="K74" s="50"/>
    </row>
    <row r="75">
      <c r="A75" s="47"/>
      <c r="E75" s="47"/>
      <c r="F75" s="48"/>
      <c r="H75" s="49"/>
      <c r="I75" s="48"/>
      <c r="K75" s="50"/>
    </row>
    <row r="76">
      <c r="A76" s="47"/>
      <c r="E76" s="47"/>
      <c r="F76" s="48"/>
      <c r="H76" s="49"/>
      <c r="I76" s="48"/>
      <c r="K76" s="50"/>
    </row>
    <row r="77">
      <c r="A77" s="47"/>
      <c r="E77" s="47"/>
      <c r="F77" s="48"/>
      <c r="H77" s="49"/>
      <c r="I77" s="48"/>
      <c r="K77" s="50"/>
    </row>
    <row r="78">
      <c r="A78" s="47"/>
      <c r="E78" s="47"/>
      <c r="F78" s="48"/>
      <c r="H78" s="49"/>
      <c r="I78" s="48"/>
      <c r="K78" s="50"/>
    </row>
    <row r="79">
      <c r="A79" s="47"/>
      <c r="E79" s="47"/>
      <c r="F79" s="48"/>
      <c r="H79" s="49"/>
      <c r="I79" s="48"/>
      <c r="K79" s="50"/>
    </row>
    <row r="80">
      <c r="A80" s="47"/>
      <c r="E80" s="47"/>
      <c r="F80" s="48"/>
      <c r="H80" s="49"/>
      <c r="I80" s="48"/>
      <c r="K80" s="50"/>
    </row>
    <row r="81">
      <c r="A81" s="47"/>
      <c r="E81" s="47"/>
      <c r="F81" s="48"/>
      <c r="H81" s="49"/>
      <c r="I81" s="48"/>
      <c r="K81" s="50"/>
    </row>
    <row r="82">
      <c r="A82" s="47"/>
      <c r="E82" s="47"/>
      <c r="F82" s="48"/>
      <c r="H82" s="49"/>
      <c r="I82" s="48"/>
      <c r="K82" s="50"/>
    </row>
    <row r="83">
      <c r="A83" s="47"/>
      <c r="E83" s="47"/>
      <c r="F83" s="48"/>
      <c r="H83" s="49"/>
      <c r="I83" s="48"/>
      <c r="K83" s="50"/>
    </row>
    <row r="84">
      <c r="A84" s="47"/>
      <c r="E84" s="47"/>
      <c r="F84" s="48"/>
      <c r="H84" s="49"/>
      <c r="I84" s="48"/>
      <c r="K84" s="50"/>
    </row>
    <row r="85">
      <c r="A85" s="47"/>
      <c r="E85" s="47"/>
      <c r="F85" s="48"/>
      <c r="H85" s="49"/>
      <c r="I85" s="48"/>
      <c r="K85" s="50"/>
    </row>
    <row r="86">
      <c r="A86" s="47"/>
      <c r="E86" s="47"/>
      <c r="F86" s="48"/>
      <c r="H86" s="49"/>
      <c r="I86" s="48"/>
      <c r="K86" s="50"/>
    </row>
    <row r="87">
      <c r="A87" s="47"/>
      <c r="E87" s="47"/>
      <c r="F87" s="48"/>
      <c r="H87" s="49"/>
      <c r="I87" s="48"/>
      <c r="K87" s="50"/>
    </row>
    <row r="88">
      <c r="A88" s="47"/>
      <c r="E88" s="47"/>
      <c r="F88" s="48"/>
      <c r="H88" s="49"/>
      <c r="I88" s="48"/>
      <c r="K88" s="50"/>
    </row>
    <row r="89">
      <c r="A89" s="47"/>
      <c r="E89" s="47"/>
      <c r="F89" s="48"/>
      <c r="H89" s="49"/>
      <c r="I89" s="48"/>
      <c r="K89" s="50"/>
    </row>
    <row r="90">
      <c r="A90" s="47"/>
      <c r="E90" s="47"/>
      <c r="F90" s="48"/>
      <c r="H90" s="49"/>
      <c r="I90" s="48"/>
      <c r="K90" s="50"/>
    </row>
    <row r="91">
      <c r="A91" s="47"/>
      <c r="E91" s="47"/>
      <c r="F91" s="48"/>
      <c r="H91" s="49"/>
      <c r="I91" s="48"/>
      <c r="K91" s="50"/>
    </row>
    <row r="92">
      <c r="A92" s="47"/>
      <c r="E92" s="47"/>
      <c r="F92" s="48"/>
      <c r="H92" s="49"/>
      <c r="I92" s="48"/>
      <c r="K92" s="50"/>
    </row>
    <row r="93">
      <c r="A93" s="47"/>
      <c r="E93" s="47"/>
      <c r="F93" s="48"/>
      <c r="H93" s="49"/>
      <c r="I93" s="48"/>
      <c r="K93" s="50"/>
    </row>
    <row r="94">
      <c r="A94" s="47"/>
      <c r="E94" s="47"/>
      <c r="F94" s="48"/>
      <c r="H94" s="49"/>
      <c r="I94" s="48"/>
      <c r="K94" s="50"/>
    </row>
    <row r="95">
      <c r="A95" s="47"/>
      <c r="E95" s="47"/>
      <c r="F95" s="48"/>
      <c r="H95" s="49"/>
      <c r="I95" s="48"/>
      <c r="K95" s="50"/>
    </row>
    <row r="96">
      <c r="A96" s="47"/>
      <c r="E96" s="47"/>
      <c r="F96" s="48"/>
      <c r="H96" s="49"/>
      <c r="I96" s="48"/>
      <c r="K96" s="50"/>
    </row>
    <row r="97">
      <c r="A97" s="47"/>
      <c r="E97" s="47"/>
      <c r="F97" s="48"/>
      <c r="H97" s="49"/>
      <c r="I97" s="48"/>
      <c r="K97" s="50"/>
    </row>
    <row r="98">
      <c r="A98" s="47"/>
      <c r="E98" s="47"/>
      <c r="F98" s="48"/>
      <c r="H98" s="49"/>
      <c r="I98" s="48"/>
      <c r="K98" s="50"/>
    </row>
    <row r="99">
      <c r="A99" s="47"/>
      <c r="E99" s="47"/>
      <c r="F99" s="48"/>
      <c r="H99" s="49"/>
      <c r="I99" s="48"/>
      <c r="K99" s="50"/>
    </row>
    <row r="100">
      <c r="A100" s="47"/>
      <c r="E100" s="47"/>
      <c r="F100" s="48"/>
      <c r="H100" s="49"/>
      <c r="I100" s="48"/>
      <c r="K100" s="50"/>
    </row>
    <row r="101">
      <c r="A101" s="47"/>
      <c r="E101" s="47"/>
      <c r="F101" s="48"/>
      <c r="H101" s="49"/>
      <c r="I101" s="48"/>
      <c r="K101" s="50"/>
    </row>
    <row r="102">
      <c r="A102" s="47"/>
      <c r="E102" s="47"/>
      <c r="F102" s="48"/>
      <c r="H102" s="49"/>
      <c r="I102" s="48"/>
      <c r="K102" s="50"/>
    </row>
    <row r="103">
      <c r="A103" s="47"/>
      <c r="E103" s="47"/>
      <c r="F103" s="48"/>
      <c r="H103" s="49"/>
      <c r="I103" s="48"/>
      <c r="K103" s="50"/>
    </row>
    <row r="104">
      <c r="A104" s="47"/>
      <c r="E104" s="47"/>
      <c r="F104" s="48"/>
      <c r="H104" s="49"/>
      <c r="I104" s="48"/>
      <c r="K104" s="50"/>
    </row>
    <row r="105">
      <c r="A105" s="47"/>
      <c r="E105" s="47"/>
      <c r="F105" s="48"/>
      <c r="H105" s="49"/>
      <c r="I105" s="48"/>
      <c r="K105" s="50"/>
    </row>
    <row r="106">
      <c r="A106" s="47"/>
      <c r="E106" s="47"/>
      <c r="F106" s="48"/>
      <c r="H106" s="49"/>
      <c r="I106" s="48"/>
      <c r="K106" s="50"/>
    </row>
    <row r="107">
      <c r="A107" s="47"/>
      <c r="E107" s="47"/>
      <c r="F107" s="48"/>
      <c r="H107" s="49"/>
      <c r="I107" s="48"/>
      <c r="K107" s="50"/>
    </row>
    <row r="108">
      <c r="A108" s="47"/>
      <c r="E108" s="47"/>
      <c r="F108" s="48"/>
      <c r="H108" s="49"/>
      <c r="I108" s="48"/>
      <c r="K108" s="50"/>
    </row>
    <row r="109">
      <c r="A109" s="47"/>
      <c r="E109" s="47"/>
      <c r="F109" s="48"/>
      <c r="H109" s="49"/>
      <c r="I109" s="48"/>
      <c r="K109" s="50"/>
    </row>
    <row r="110">
      <c r="A110" s="47"/>
      <c r="E110" s="47"/>
      <c r="F110" s="48"/>
      <c r="H110" s="49"/>
      <c r="I110" s="48"/>
      <c r="K110" s="50"/>
    </row>
    <row r="111">
      <c r="A111" s="47"/>
      <c r="E111" s="47"/>
      <c r="F111" s="48"/>
      <c r="H111" s="49"/>
      <c r="I111" s="48"/>
      <c r="K111" s="50"/>
    </row>
    <row r="112">
      <c r="A112" s="47"/>
      <c r="E112" s="47"/>
      <c r="F112" s="48"/>
      <c r="H112" s="49"/>
      <c r="I112" s="48"/>
      <c r="K112" s="50"/>
    </row>
    <row r="113">
      <c r="A113" s="47"/>
      <c r="E113" s="47"/>
      <c r="F113" s="48"/>
      <c r="H113" s="49"/>
      <c r="I113" s="48"/>
      <c r="K113" s="50"/>
    </row>
    <row r="114">
      <c r="A114" s="47"/>
      <c r="E114" s="47"/>
      <c r="F114" s="48"/>
      <c r="H114" s="49"/>
      <c r="I114" s="48"/>
      <c r="K114" s="50"/>
    </row>
    <row r="115">
      <c r="A115" s="47"/>
      <c r="E115" s="47"/>
      <c r="F115" s="48"/>
      <c r="H115" s="49"/>
      <c r="I115" s="48"/>
      <c r="K115" s="50"/>
    </row>
    <row r="116">
      <c r="A116" s="47"/>
      <c r="E116" s="47"/>
      <c r="F116" s="48"/>
      <c r="H116" s="49"/>
      <c r="I116" s="48"/>
      <c r="K116" s="50"/>
    </row>
    <row r="117">
      <c r="A117" s="47"/>
      <c r="E117" s="47"/>
      <c r="F117" s="48"/>
      <c r="H117" s="49"/>
      <c r="I117" s="48"/>
      <c r="K117" s="50"/>
    </row>
    <row r="118">
      <c r="A118" s="47"/>
      <c r="E118" s="47"/>
      <c r="F118" s="48"/>
      <c r="H118" s="49"/>
      <c r="I118" s="48"/>
      <c r="K118" s="50"/>
    </row>
    <row r="119">
      <c r="A119" s="47"/>
      <c r="E119" s="47"/>
      <c r="F119" s="48"/>
      <c r="H119" s="49"/>
      <c r="I119" s="48"/>
      <c r="K119" s="50"/>
    </row>
    <row r="120">
      <c r="A120" s="47"/>
      <c r="E120" s="47"/>
      <c r="F120" s="48"/>
      <c r="H120" s="49"/>
      <c r="I120" s="48"/>
      <c r="K120" s="50"/>
    </row>
    <row r="121">
      <c r="A121" s="47"/>
      <c r="E121" s="47"/>
      <c r="F121" s="48"/>
      <c r="H121" s="49"/>
      <c r="I121" s="48"/>
      <c r="K121" s="50"/>
    </row>
    <row r="122">
      <c r="A122" s="47"/>
      <c r="E122" s="47"/>
      <c r="F122" s="48"/>
      <c r="H122" s="49"/>
      <c r="I122" s="48"/>
      <c r="K122" s="50"/>
    </row>
    <row r="123">
      <c r="A123" s="47"/>
      <c r="E123" s="47"/>
      <c r="F123" s="48"/>
      <c r="H123" s="49"/>
      <c r="I123" s="48"/>
      <c r="K123" s="50"/>
    </row>
    <row r="124">
      <c r="A124" s="47"/>
      <c r="E124" s="47"/>
      <c r="F124" s="48"/>
      <c r="H124" s="49"/>
      <c r="I124" s="48"/>
      <c r="K124" s="50"/>
    </row>
    <row r="125">
      <c r="A125" s="47"/>
      <c r="E125" s="47"/>
      <c r="F125" s="48"/>
      <c r="H125" s="49"/>
      <c r="I125" s="48"/>
      <c r="K125" s="50"/>
    </row>
    <row r="126">
      <c r="A126" s="47"/>
      <c r="E126" s="47"/>
      <c r="F126" s="48"/>
      <c r="H126" s="49"/>
      <c r="I126" s="48"/>
      <c r="K126" s="50"/>
    </row>
    <row r="127">
      <c r="A127" s="47"/>
      <c r="E127" s="47"/>
      <c r="F127" s="48"/>
      <c r="H127" s="49"/>
      <c r="I127" s="48"/>
      <c r="K127" s="50"/>
    </row>
    <row r="128">
      <c r="A128" s="47"/>
      <c r="E128" s="47"/>
      <c r="F128" s="48"/>
      <c r="H128" s="49"/>
      <c r="I128" s="48"/>
      <c r="K128" s="50"/>
    </row>
    <row r="129">
      <c r="A129" s="47"/>
      <c r="E129" s="47"/>
      <c r="F129" s="48"/>
      <c r="H129" s="49"/>
      <c r="I129" s="48"/>
      <c r="K129" s="50"/>
    </row>
    <row r="130">
      <c r="A130" s="47"/>
      <c r="E130" s="47"/>
      <c r="F130" s="48"/>
      <c r="H130" s="49"/>
      <c r="I130" s="48"/>
      <c r="K130" s="50"/>
    </row>
    <row r="131">
      <c r="A131" s="47"/>
      <c r="E131" s="47"/>
      <c r="F131" s="48"/>
      <c r="H131" s="49"/>
      <c r="I131" s="48"/>
      <c r="K131" s="50"/>
    </row>
    <row r="132">
      <c r="A132" s="47"/>
      <c r="E132" s="47"/>
      <c r="F132" s="48"/>
      <c r="H132" s="49"/>
      <c r="I132" s="48"/>
      <c r="K132" s="50"/>
    </row>
    <row r="133">
      <c r="A133" s="47"/>
      <c r="E133" s="47"/>
      <c r="F133" s="48"/>
      <c r="H133" s="49"/>
      <c r="I133" s="48"/>
      <c r="K133" s="50"/>
    </row>
    <row r="134">
      <c r="A134" s="47"/>
      <c r="E134" s="47"/>
      <c r="F134" s="48"/>
      <c r="H134" s="49"/>
      <c r="I134" s="48"/>
      <c r="K134" s="50"/>
    </row>
    <row r="135">
      <c r="A135" s="47"/>
      <c r="E135" s="47"/>
      <c r="F135" s="48"/>
      <c r="H135" s="49"/>
      <c r="I135" s="48"/>
      <c r="K135" s="50"/>
    </row>
    <row r="136">
      <c r="A136" s="47"/>
      <c r="E136" s="47"/>
      <c r="F136" s="48"/>
      <c r="H136" s="49"/>
      <c r="I136" s="48"/>
      <c r="K136" s="50"/>
    </row>
    <row r="137">
      <c r="A137" s="47"/>
      <c r="E137" s="47"/>
      <c r="F137" s="48"/>
      <c r="H137" s="49"/>
      <c r="I137" s="48"/>
      <c r="K137" s="50"/>
    </row>
    <row r="138">
      <c r="A138" s="47"/>
      <c r="E138" s="47"/>
      <c r="F138" s="48"/>
      <c r="H138" s="49"/>
      <c r="I138" s="48"/>
      <c r="K138" s="50"/>
    </row>
    <row r="139">
      <c r="A139" s="47"/>
      <c r="E139" s="47"/>
      <c r="F139" s="48"/>
      <c r="H139" s="49"/>
      <c r="I139" s="48"/>
      <c r="K139" s="50"/>
    </row>
    <row r="140">
      <c r="A140" s="47"/>
      <c r="E140" s="47"/>
      <c r="F140" s="48"/>
      <c r="H140" s="49"/>
      <c r="I140" s="48"/>
      <c r="K140" s="50"/>
    </row>
    <row r="141">
      <c r="A141" s="47"/>
      <c r="E141" s="47"/>
      <c r="F141" s="48"/>
      <c r="H141" s="49"/>
      <c r="I141" s="48"/>
      <c r="K141" s="50"/>
    </row>
    <row r="142">
      <c r="A142" s="47"/>
      <c r="E142" s="47"/>
      <c r="F142" s="48"/>
      <c r="H142" s="49"/>
      <c r="I142" s="48"/>
      <c r="K142" s="50"/>
    </row>
    <row r="143">
      <c r="A143" s="47"/>
      <c r="E143" s="47"/>
      <c r="F143" s="48"/>
      <c r="H143" s="49"/>
      <c r="I143" s="48"/>
      <c r="K143" s="50"/>
    </row>
    <row r="144">
      <c r="A144" s="47"/>
      <c r="E144" s="47"/>
      <c r="F144" s="48"/>
      <c r="H144" s="49"/>
      <c r="I144" s="48"/>
      <c r="K144" s="50"/>
    </row>
    <row r="145">
      <c r="A145" s="47"/>
      <c r="E145" s="47"/>
      <c r="F145" s="48"/>
      <c r="H145" s="49"/>
      <c r="I145" s="48"/>
      <c r="K145" s="50"/>
    </row>
    <row r="146">
      <c r="A146" s="47"/>
      <c r="E146" s="47"/>
      <c r="F146" s="48"/>
      <c r="H146" s="49"/>
      <c r="I146" s="48"/>
      <c r="K146" s="50"/>
    </row>
    <row r="147">
      <c r="A147" s="47"/>
      <c r="E147" s="47"/>
      <c r="F147" s="48"/>
      <c r="H147" s="49"/>
      <c r="I147" s="48"/>
      <c r="K147" s="50"/>
    </row>
    <row r="148">
      <c r="A148" s="47"/>
      <c r="E148" s="47"/>
      <c r="F148" s="48"/>
      <c r="H148" s="49"/>
      <c r="I148" s="48"/>
      <c r="K148" s="50"/>
    </row>
    <row r="149">
      <c r="A149" s="47"/>
      <c r="E149" s="47"/>
      <c r="F149" s="48"/>
      <c r="H149" s="49"/>
      <c r="I149" s="48"/>
      <c r="K149" s="50"/>
    </row>
    <row r="150">
      <c r="A150" s="47"/>
      <c r="E150" s="47"/>
      <c r="F150" s="48"/>
      <c r="H150" s="49"/>
      <c r="I150" s="48"/>
      <c r="K150" s="50"/>
    </row>
    <row r="151">
      <c r="A151" s="47"/>
      <c r="E151" s="47"/>
      <c r="F151" s="48"/>
      <c r="H151" s="49"/>
      <c r="I151" s="48"/>
      <c r="K151" s="50"/>
    </row>
    <row r="152">
      <c r="A152" s="47"/>
      <c r="E152" s="47"/>
      <c r="F152" s="48"/>
      <c r="H152" s="49"/>
      <c r="I152" s="48"/>
      <c r="K152" s="50"/>
    </row>
    <row r="153">
      <c r="A153" s="47"/>
      <c r="E153" s="47"/>
      <c r="F153" s="48"/>
      <c r="H153" s="49"/>
      <c r="I153" s="48"/>
      <c r="K153" s="50"/>
    </row>
    <row r="154">
      <c r="A154" s="47"/>
      <c r="E154" s="47"/>
      <c r="F154" s="48"/>
      <c r="H154" s="49"/>
      <c r="I154" s="48"/>
      <c r="K154" s="50"/>
    </row>
    <row r="155">
      <c r="A155" s="47"/>
      <c r="E155" s="47"/>
      <c r="F155" s="48"/>
      <c r="H155" s="49"/>
      <c r="I155" s="48"/>
      <c r="K155" s="50"/>
    </row>
    <row r="156">
      <c r="A156" s="47"/>
      <c r="E156" s="47"/>
      <c r="F156" s="48"/>
      <c r="H156" s="49"/>
      <c r="I156" s="48"/>
      <c r="K156" s="50"/>
    </row>
    <row r="157">
      <c r="A157" s="47"/>
      <c r="E157" s="47"/>
      <c r="F157" s="48"/>
      <c r="H157" s="49"/>
      <c r="I157" s="48"/>
      <c r="K157" s="50"/>
    </row>
    <row r="158">
      <c r="A158" s="47"/>
      <c r="E158" s="47"/>
      <c r="F158" s="48"/>
      <c r="H158" s="49"/>
      <c r="I158" s="48"/>
      <c r="K158" s="50"/>
    </row>
    <row r="159">
      <c r="A159" s="47"/>
      <c r="E159" s="47"/>
      <c r="F159" s="48"/>
      <c r="H159" s="49"/>
      <c r="I159" s="48"/>
      <c r="K159" s="50"/>
    </row>
    <row r="160">
      <c r="A160" s="47"/>
      <c r="E160" s="47"/>
      <c r="F160" s="48"/>
      <c r="H160" s="49"/>
      <c r="I160" s="48"/>
      <c r="K160" s="50"/>
    </row>
    <row r="161">
      <c r="A161" s="47"/>
      <c r="E161" s="47"/>
      <c r="F161" s="48"/>
      <c r="H161" s="49"/>
      <c r="I161" s="48"/>
      <c r="K161" s="50"/>
    </row>
    <row r="162">
      <c r="A162" s="47"/>
      <c r="E162" s="47"/>
      <c r="F162" s="48"/>
      <c r="H162" s="49"/>
      <c r="I162" s="48"/>
      <c r="K162" s="50"/>
    </row>
    <row r="163">
      <c r="A163" s="47"/>
      <c r="E163" s="47"/>
      <c r="F163" s="48"/>
      <c r="H163" s="49"/>
      <c r="I163" s="48"/>
      <c r="K163" s="50"/>
    </row>
    <row r="164">
      <c r="A164" s="47"/>
      <c r="E164" s="47"/>
      <c r="F164" s="48"/>
      <c r="H164" s="49"/>
      <c r="I164" s="48"/>
      <c r="K164" s="50"/>
    </row>
    <row r="165">
      <c r="A165" s="47"/>
      <c r="E165" s="47"/>
      <c r="F165" s="48"/>
      <c r="H165" s="49"/>
      <c r="I165" s="48"/>
      <c r="K165" s="50"/>
    </row>
    <row r="166">
      <c r="A166" s="47"/>
      <c r="E166" s="47"/>
      <c r="F166" s="48"/>
      <c r="H166" s="49"/>
      <c r="I166" s="48"/>
      <c r="K166" s="50"/>
    </row>
    <row r="167">
      <c r="A167" s="47"/>
      <c r="E167" s="47"/>
      <c r="F167" s="48"/>
      <c r="H167" s="49"/>
      <c r="I167" s="48"/>
      <c r="K167" s="50"/>
    </row>
    <row r="168">
      <c r="A168" s="47"/>
      <c r="E168" s="47"/>
      <c r="F168" s="48"/>
      <c r="H168" s="49"/>
      <c r="I168" s="48"/>
      <c r="K168" s="50"/>
    </row>
    <row r="169">
      <c r="A169" s="47"/>
      <c r="E169" s="47"/>
      <c r="F169" s="48"/>
      <c r="H169" s="49"/>
      <c r="I169" s="48"/>
      <c r="K169" s="50"/>
    </row>
    <row r="170">
      <c r="A170" s="47"/>
      <c r="E170" s="47"/>
      <c r="F170" s="48"/>
      <c r="H170" s="49"/>
      <c r="I170" s="48"/>
      <c r="K170" s="50"/>
    </row>
    <row r="171">
      <c r="A171" s="47"/>
      <c r="E171" s="47"/>
      <c r="F171" s="48"/>
      <c r="H171" s="49"/>
      <c r="I171" s="48"/>
      <c r="K171" s="50"/>
    </row>
    <row r="172">
      <c r="A172" s="47"/>
      <c r="E172" s="47"/>
      <c r="F172" s="48"/>
      <c r="H172" s="49"/>
      <c r="I172" s="48"/>
      <c r="K172" s="50"/>
    </row>
    <row r="173">
      <c r="A173" s="47"/>
      <c r="E173" s="47"/>
      <c r="F173" s="48"/>
      <c r="H173" s="49"/>
      <c r="I173" s="48"/>
      <c r="K173" s="50"/>
    </row>
    <row r="174">
      <c r="A174" s="47"/>
      <c r="E174" s="47"/>
      <c r="F174" s="48"/>
      <c r="H174" s="49"/>
      <c r="I174" s="48"/>
      <c r="K174" s="50"/>
    </row>
    <row r="175">
      <c r="A175" s="47"/>
      <c r="E175" s="47"/>
      <c r="F175" s="48"/>
      <c r="H175" s="49"/>
      <c r="I175" s="48"/>
      <c r="K175" s="50"/>
    </row>
    <row r="176">
      <c r="A176" s="47"/>
      <c r="E176" s="47"/>
      <c r="F176" s="48"/>
      <c r="H176" s="49"/>
      <c r="I176" s="48"/>
      <c r="K176" s="50"/>
    </row>
    <row r="177">
      <c r="A177" s="47"/>
      <c r="E177" s="47"/>
      <c r="F177" s="48"/>
      <c r="H177" s="49"/>
      <c r="I177" s="48"/>
      <c r="K177" s="50"/>
    </row>
    <row r="178">
      <c r="A178" s="47"/>
      <c r="E178" s="47"/>
      <c r="F178" s="48"/>
      <c r="H178" s="49"/>
      <c r="I178" s="48"/>
      <c r="K178" s="50"/>
    </row>
    <row r="179">
      <c r="A179" s="47"/>
      <c r="E179" s="47"/>
      <c r="F179" s="48"/>
      <c r="H179" s="49"/>
      <c r="I179" s="48"/>
      <c r="K179" s="50"/>
    </row>
    <row r="180">
      <c r="A180" s="47"/>
      <c r="E180" s="47"/>
      <c r="F180" s="48"/>
      <c r="H180" s="49"/>
      <c r="I180" s="48"/>
      <c r="K180" s="50"/>
    </row>
    <row r="181">
      <c r="A181" s="47"/>
      <c r="E181" s="47"/>
      <c r="F181" s="48"/>
      <c r="H181" s="49"/>
      <c r="I181" s="48"/>
      <c r="K181" s="50"/>
    </row>
    <row r="182">
      <c r="A182" s="47"/>
      <c r="E182" s="47"/>
      <c r="F182" s="48"/>
      <c r="H182" s="49"/>
      <c r="I182" s="48"/>
      <c r="K182" s="50"/>
    </row>
    <row r="183">
      <c r="A183" s="47"/>
      <c r="E183" s="47"/>
      <c r="F183" s="48"/>
      <c r="H183" s="49"/>
      <c r="I183" s="48"/>
      <c r="K183" s="50"/>
    </row>
    <row r="184">
      <c r="A184" s="47"/>
      <c r="E184" s="47"/>
      <c r="F184" s="48"/>
      <c r="H184" s="49"/>
      <c r="I184" s="48"/>
      <c r="K184" s="50"/>
    </row>
    <row r="185">
      <c r="A185" s="47"/>
      <c r="E185" s="47"/>
      <c r="F185" s="48"/>
      <c r="H185" s="49"/>
      <c r="I185" s="48"/>
      <c r="K185" s="50"/>
    </row>
    <row r="186">
      <c r="A186" s="47"/>
      <c r="E186" s="47"/>
      <c r="F186" s="48"/>
      <c r="H186" s="49"/>
      <c r="I186" s="48"/>
      <c r="K186" s="50"/>
    </row>
    <row r="187">
      <c r="A187" s="47"/>
      <c r="E187" s="47"/>
      <c r="F187" s="48"/>
      <c r="H187" s="49"/>
      <c r="I187" s="48"/>
      <c r="K187" s="50"/>
    </row>
    <row r="188">
      <c r="A188" s="47"/>
      <c r="E188" s="47"/>
      <c r="F188" s="48"/>
      <c r="H188" s="49"/>
      <c r="I188" s="48"/>
      <c r="K188" s="50"/>
    </row>
    <row r="189">
      <c r="A189" s="47"/>
      <c r="E189" s="47"/>
      <c r="F189" s="48"/>
      <c r="H189" s="49"/>
      <c r="I189" s="48"/>
      <c r="K189" s="50"/>
    </row>
    <row r="190">
      <c r="A190" s="47"/>
      <c r="E190" s="47"/>
      <c r="F190" s="48"/>
      <c r="H190" s="49"/>
      <c r="I190" s="48"/>
      <c r="K190" s="50"/>
    </row>
    <row r="191">
      <c r="A191" s="47"/>
      <c r="E191" s="47"/>
      <c r="F191" s="48"/>
      <c r="H191" s="49"/>
      <c r="I191" s="48"/>
      <c r="K191" s="50"/>
    </row>
    <row r="192">
      <c r="A192" s="47"/>
      <c r="E192" s="47"/>
      <c r="F192" s="48"/>
      <c r="H192" s="49"/>
      <c r="I192" s="48"/>
      <c r="K192" s="50"/>
    </row>
    <row r="193">
      <c r="A193" s="47"/>
      <c r="E193" s="47"/>
      <c r="F193" s="48"/>
      <c r="H193" s="49"/>
      <c r="I193" s="48"/>
      <c r="K193" s="50"/>
    </row>
    <row r="194">
      <c r="A194" s="47"/>
      <c r="E194" s="47"/>
      <c r="F194" s="48"/>
      <c r="H194" s="49"/>
      <c r="I194" s="48"/>
      <c r="K194" s="50"/>
    </row>
    <row r="195">
      <c r="A195" s="47"/>
      <c r="E195" s="47"/>
      <c r="F195" s="48"/>
      <c r="H195" s="49"/>
      <c r="I195" s="48"/>
      <c r="K195" s="50"/>
    </row>
    <row r="196">
      <c r="A196" s="47"/>
      <c r="E196" s="47"/>
      <c r="F196" s="48"/>
      <c r="H196" s="49"/>
      <c r="I196" s="48"/>
      <c r="K196" s="50"/>
    </row>
    <row r="197">
      <c r="A197" s="47"/>
      <c r="E197" s="47"/>
      <c r="F197" s="48"/>
      <c r="H197" s="49"/>
      <c r="I197" s="48"/>
      <c r="K197" s="50"/>
    </row>
    <row r="198">
      <c r="A198" s="47"/>
      <c r="E198" s="47"/>
      <c r="F198" s="48"/>
      <c r="H198" s="49"/>
      <c r="I198" s="48"/>
      <c r="K198" s="50"/>
    </row>
    <row r="199">
      <c r="A199" s="47"/>
      <c r="E199" s="47"/>
      <c r="F199" s="48"/>
      <c r="H199" s="49"/>
      <c r="I199" s="48"/>
      <c r="K199" s="50"/>
    </row>
    <row r="200">
      <c r="A200" s="47"/>
      <c r="E200" s="47"/>
      <c r="F200" s="48"/>
      <c r="H200" s="49"/>
      <c r="I200" s="48"/>
      <c r="K200" s="50"/>
    </row>
    <row r="201">
      <c r="A201" s="47"/>
      <c r="E201" s="47"/>
      <c r="F201" s="48"/>
      <c r="H201" s="49"/>
      <c r="I201" s="48"/>
      <c r="K201" s="50"/>
    </row>
    <row r="202">
      <c r="A202" s="47"/>
      <c r="E202" s="47"/>
      <c r="F202" s="48"/>
      <c r="H202" s="49"/>
      <c r="I202" s="48"/>
      <c r="K202" s="50"/>
    </row>
    <row r="203">
      <c r="A203" s="47"/>
      <c r="E203" s="47"/>
      <c r="F203" s="48"/>
      <c r="H203" s="49"/>
      <c r="I203" s="48"/>
      <c r="K203" s="50"/>
    </row>
    <row r="204">
      <c r="A204" s="47"/>
      <c r="E204" s="47"/>
      <c r="F204" s="48"/>
      <c r="H204" s="49"/>
      <c r="I204" s="48"/>
      <c r="K204" s="50"/>
    </row>
    <row r="205">
      <c r="A205" s="47"/>
      <c r="E205" s="47"/>
      <c r="F205" s="48"/>
      <c r="H205" s="49"/>
      <c r="I205" s="48"/>
      <c r="K205" s="50"/>
    </row>
    <row r="206">
      <c r="A206" s="47"/>
      <c r="E206" s="47"/>
      <c r="F206" s="48"/>
      <c r="H206" s="49"/>
      <c r="I206" s="48"/>
      <c r="K206" s="50"/>
    </row>
    <row r="207">
      <c r="A207" s="47"/>
      <c r="E207" s="47"/>
      <c r="F207" s="48"/>
      <c r="H207" s="49"/>
      <c r="I207" s="48"/>
      <c r="K207" s="50"/>
    </row>
    <row r="208">
      <c r="A208" s="47"/>
      <c r="E208" s="47"/>
      <c r="F208" s="48"/>
      <c r="H208" s="49"/>
      <c r="I208" s="48"/>
      <c r="K208" s="50"/>
    </row>
    <row r="209">
      <c r="A209" s="47"/>
      <c r="E209" s="47"/>
      <c r="F209" s="48"/>
      <c r="H209" s="49"/>
      <c r="I209" s="48"/>
      <c r="K209" s="50"/>
    </row>
    <row r="210">
      <c r="A210" s="47"/>
      <c r="E210" s="47"/>
      <c r="F210" s="48"/>
      <c r="H210" s="49"/>
      <c r="I210" s="48"/>
      <c r="K210" s="50"/>
    </row>
    <row r="211">
      <c r="A211" s="47"/>
      <c r="E211" s="47"/>
      <c r="F211" s="48"/>
      <c r="H211" s="49"/>
      <c r="I211" s="48"/>
      <c r="K211" s="50"/>
    </row>
    <row r="212">
      <c r="A212" s="47"/>
      <c r="E212" s="47"/>
      <c r="F212" s="48"/>
      <c r="H212" s="49"/>
      <c r="I212" s="48"/>
      <c r="K212" s="50"/>
    </row>
    <row r="213">
      <c r="A213" s="47"/>
      <c r="E213" s="47"/>
      <c r="F213" s="48"/>
      <c r="H213" s="49"/>
      <c r="I213" s="48"/>
      <c r="K213" s="50"/>
    </row>
    <row r="214">
      <c r="A214" s="47"/>
      <c r="E214" s="47"/>
      <c r="F214" s="48"/>
      <c r="H214" s="49"/>
      <c r="I214" s="48"/>
      <c r="K214" s="50"/>
    </row>
    <row r="215">
      <c r="A215" s="47"/>
      <c r="E215" s="47"/>
      <c r="F215" s="48"/>
      <c r="H215" s="49"/>
      <c r="I215" s="48"/>
      <c r="K215" s="50"/>
    </row>
    <row r="216">
      <c r="A216" s="47"/>
      <c r="E216" s="47"/>
      <c r="F216" s="48"/>
      <c r="H216" s="49"/>
      <c r="I216" s="48"/>
      <c r="K216" s="50"/>
    </row>
    <row r="217">
      <c r="A217" s="47"/>
      <c r="E217" s="47"/>
      <c r="F217" s="48"/>
      <c r="H217" s="49"/>
      <c r="I217" s="48"/>
      <c r="K217" s="50"/>
    </row>
    <row r="218">
      <c r="A218" s="47"/>
      <c r="E218" s="47"/>
      <c r="F218" s="48"/>
      <c r="H218" s="49"/>
      <c r="I218" s="48"/>
      <c r="K218" s="50"/>
    </row>
    <row r="219">
      <c r="A219" s="47"/>
      <c r="E219" s="47"/>
      <c r="F219" s="48"/>
      <c r="H219" s="49"/>
      <c r="I219" s="48"/>
      <c r="K219" s="50"/>
    </row>
    <row r="220">
      <c r="A220" s="47"/>
      <c r="E220" s="47"/>
      <c r="F220" s="48"/>
      <c r="H220" s="49"/>
      <c r="I220" s="48"/>
      <c r="K220" s="50"/>
    </row>
    <row r="221">
      <c r="A221" s="47"/>
      <c r="E221" s="47"/>
      <c r="F221" s="48"/>
      <c r="H221" s="49"/>
      <c r="I221" s="48"/>
      <c r="K221" s="50"/>
    </row>
    <row r="222">
      <c r="A222" s="47"/>
      <c r="E222" s="47"/>
      <c r="F222" s="48"/>
      <c r="H222" s="49"/>
      <c r="I222" s="48"/>
      <c r="K222" s="50"/>
    </row>
    <row r="223">
      <c r="A223" s="47"/>
      <c r="E223" s="47"/>
      <c r="F223" s="48"/>
      <c r="H223" s="49"/>
      <c r="I223" s="48"/>
      <c r="K223" s="50"/>
    </row>
    <row r="224">
      <c r="A224" s="47"/>
      <c r="E224" s="47"/>
      <c r="F224" s="48"/>
      <c r="H224" s="49"/>
      <c r="I224" s="48"/>
      <c r="K224" s="50"/>
    </row>
    <row r="225">
      <c r="A225" s="47"/>
      <c r="E225" s="47"/>
      <c r="F225" s="48"/>
      <c r="H225" s="49"/>
      <c r="I225" s="48"/>
      <c r="K225" s="50"/>
    </row>
    <row r="226">
      <c r="A226" s="47"/>
      <c r="E226" s="47"/>
      <c r="F226" s="48"/>
      <c r="H226" s="49"/>
      <c r="I226" s="48"/>
      <c r="K226" s="50"/>
    </row>
    <row r="227">
      <c r="A227" s="47"/>
      <c r="E227" s="47"/>
      <c r="F227" s="48"/>
      <c r="H227" s="49"/>
      <c r="I227" s="48"/>
      <c r="K227" s="50"/>
    </row>
    <row r="228">
      <c r="A228" s="47"/>
      <c r="E228" s="47"/>
      <c r="F228" s="48"/>
      <c r="H228" s="49"/>
      <c r="I228" s="48"/>
      <c r="K228" s="50"/>
    </row>
    <row r="229">
      <c r="A229" s="47"/>
      <c r="E229" s="47"/>
      <c r="F229" s="48"/>
      <c r="H229" s="49"/>
      <c r="I229" s="48"/>
      <c r="K229" s="50"/>
    </row>
    <row r="230">
      <c r="A230" s="47"/>
      <c r="E230" s="47"/>
      <c r="F230" s="48"/>
      <c r="H230" s="49"/>
      <c r="I230" s="48"/>
      <c r="K230" s="50"/>
    </row>
    <row r="231">
      <c r="A231" s="47"/>
      <c r="E231" s="47"/>
      <c r="F231" s="48"/>
      <c r="H231" s="49"/>
      <c r="I231" s="48"/>
      <c r="K231" s="50"/>
    </row>
    <row r="232">
      <c r="A232" s="47"/>
      <c r="E232" s="47"/>
      <c r="F232" s="48"/>
      <c r="H232" s="49"/>
      <c r="I232" s="48"/>
      <c r="K232" s="50"/>
    </row>
    <row r="233">
      <c r="A233" s="47"/>
      <c r="E233" s="47"/>
      <c r="F233" s="48"/>
      <c r="H233" s="49"/>
      <c r="I233" s="48"/>
      <c r="K233" s="50"/>
    </row>
    <row r="234">
      <c r="A234" s="47"/>
      <c r="E234" s="47"/>
      <c r="F234" s="48"/>
      <c r="H234" s="49"/>
      <c r="I234" s="48"/>
      <c r="K234" s="50"/>
    </row>
    <row r="235">
      <c r="A235" s="47"/>
      <c r="E235" s="47"/>
      <c r="F235" s="48"/>
      <c r="H235" s="49"/>
      <c r="I235" s="48"/>
      <c r="K235" s="50"/>
    </row>
    <row r="236">
      <c r="A236" s="47"/>
      <c r="E236" s="47"/>
      <c r="F236" s="48"/>
      <c r="H236" s="49"/>
      <c r="I236" s="48"/>
      <c r="K236" s="50"/>
    </row>
    <row r="237">
      <c r="A237" s="47"/>
      <c r="E237" s="47"/>
      <c r="F237" s="48"/>
      <c r="H237" s="49"/>
      <c r="I237" s="48"/>
      <c r="K237" s="50"/>
    </row>
    <row r="238">
      <c r="A238" s="47"/>
      <c r="E238" s="47"/>
      <c r="F238" s="48"/>
      <c r="H238" s="49"/>
      <c r="I238" s="48"/>
      <c r="K238" s="50"/>
    </row>
    <row r="239">
      <c r="A239" s="47"/>
      <c r="E239" s="47"/>
      <c r="F239" s="48"/>
      <c r="H239" s="49"/>
      <c r="I239" s="48"/>
      <c r="K239" s="50"/>
    </row>
    <row r="240">
      <c r="A240" s="47"/>
      <c r="E240" s="47"/>
      <c r="F240" s="48"/>
      <c r="H240" s="49"/>
      <c r="I240" s="48"/>
      <c r="K240" s="50"/>
    </row>
    <row r="241">
      <c r="A241" s="47"/>
      <c r="E241" s="47"/>
      <c r="F241" s="48"/>
      <c r="H241" s="49"/>
      <c r="I241" s="48"/>
      <c r="K241" s="50"/>
    </row>
    <row r="242">
      <c r="A242" s="47"/>
      <c r="E242" s="47"/>
      <c r="F242" s="48"/>
      <c r="H242" s="49"/>
      <c r="I242" s="48"/>
      <c r="K242" s="50"/>
    </row>
    <row r="243">
      <c r="A243" s="47"/>
      <c r="E243" s="47"/>
      <c r="F243" s="48"/>
      <c r="H243" s="49"/>
      <c r="I243" s="48"/>
      <c r="K243" s="50"/>
    </row>
    <row r="244">
      <c r="A244" s="47"/>
      <c r="E244" s="47"/>
      <c r="F244" s="48"/>
      <c r="H244" s="49"/>
      <c r="I244" s="48"/>
      <c r="K244" s="50"/>
    </row>
    <row r="245">
      <c r="A245" s="47"/>
      <c r="E245" s="47"/>
      <c r="F245" s="48"/>
      <c r="H245" s="49"/>
      <c r="I245" s="48"/>
      <c r="K245" s="50"/>
    </row>
    <row r="246">
      <c r="A246" s="47"/>
      <c r="E246" s="47"/>
      <c r="F246" s="48"/>
      <c r="H246" s="49"/>
      <c r="I246" s="48"/>
      <c r="K246" s="50"/>
    </row>
    <row r="247">
      <c r="A247" s="47"/>
      <c r="E247" s="47"/>
      <c r="F247" s="48"/>
      <c r="H247" s="49"/>
      <c r="I247" s="48"/>
      <c r="K247" s="50"/>
    </row>
    <row r="248">
      <c r="A248" s="47"/>
      <c r="E248" s="47"/>
      <c r="F248" s="48"/>
      <c r="H248" s="49"/>
      <c r="I248" s="48"/>
      <c r="K248" s="50"/>
    </row>
    <row r="249">
      <c r="A249" s="47"/>
      <c r="E249" s="47"/>
      <c r="F249" s="48"/>
      <c r="H249" s="49"/>
      <c r="I249" s="48"/>
      <c r="K249" s="50"/>
    </row>
    <row r="250">
      <c r="A250" s="47"/>
      <c r="E250" s="47"/>
      <c r="F250" s="48"/>
      <c r="H250" s="49"/>
      <c r="I250" s="48"/>
      <c r="K250" s="50"/>
    </row>
    <row r="251">
      <c r="A251" s="47"/>
      <c r="E251" s="47"/>
      <c r="F251" s="48"/>
      <c r="H251" s="49"/>
      <c r="I251" s="48"/>
      <c r="K251" s="50"/>
    </row>
    <row r="252">
      <c r="A252" s="47"/>
      <c r="E252" s="47"/>
      <c r="F252" s="48"/>
      <c r="H252" s="49"/>
      <c r="I252" s="48"/>
      <c r="K252" s="50"/>
    </row>
    <row r="253">
      <c r="A253" s="47"/>
      <c r="E253" s="47"/>
      <c r="F253" s="48"/>
      <c r="H253" s="49"/>
      <c r="I253" s="48"/>
      <c r="K253" s="50"/>
    </row>
    <row r="254">
      <c r="A254" s="47"/>
      <c r="E254" s="47"/>
      <c r="F254" s="48"/>
      <c r="H254" s="49"/>
      <c r="I254" s="48"/>
      <c r="K254" s="50"/>
    </row>
    <row r="255">
      <c r="A255" s="47"/>
      <c r="E255" s="47"/>
      <c r="F255" s="48"/>
      <c r="H255" s="49"/>
      <c r="I255" s="48"/>
      <c r="K255" s="50"/>
    </row>
    <row r="256">
      <c r="A256" s="47"/>
      <c r="E256" s="47"/>
      <c r="F256" s="48"/>
      <c r="H256" s="49"/>
      <c r="I256" s="48"/>
      <c r="K256" s="50"/>
    </row>
    <row r="257">
      <c r="A257" s="47"/>
      <c r="E257" s="47"/>
      <c r="F257" s="48"/>
      <c r="H257" s="49"/>
      <c r="I257" s="48"/>
      <c r="K257" s="50"/>
    </row>
    <row r="258">
      <c r="A258" s="47"/>
      <c r="E258" s="47"/>
      <c r="F258" s="48"/>
      <c r="H258" s="49"/>
      <c r="I258" s="48"/>
      <c r="K258" s="50"/>
    </row>
    <row r="259">
      <c r="A259" s="47"/>
      <c r="E259" s="47"/>
      <c r="F259" s="48"/>
      <c r="H259" s="49"/>
      <c r="I259" s="48"/>
      <c r="K259" s="50"/>
    </row>
    <row r="260">
      <c r="A260" s="47"/>
      <c r="E260" s="47"/>
      <c r="F260" s="48"/>
      <c r="H260" s="49"/>
      <c r="I260" s="48"/>
      <c r="K260" s="50"/>
    </row>
    <row r="261">
      <c r="A261" s="47"/>
      <c r="E261" s="47"/>
      <c r="F261" s="48"/>
      <c r="H261" s="49"/>
      <c r="I261" s="48"/>
      <c r="K261" s="50"/>
    </row>
    <row r="262">
      <c r="A262" s="47"/>
      <c r="E262" s="47"/>
      <c r="F262" s="48"/>
      <c r="H262" s="49"/>
      <c r="I262" s="48"/>
      <c r="K262" s="50"/>
    </row>
    <row r="263">
      <c r="A263" s="47"/>
      <c r="E263" s="47"/>
      <c r="F263" s="48"/>
      <c r="H263" s="49"/>
      <c r="I263" s="48"/>
      <c r="K263" s="50"/>
    </row>
    <row r="264">
      <c r="A264" s="47"/>
      <c r="E264" s="47"/>
      <c r="F264" s="48"/>
      <c r="H264" s="49"/>
      <c r="I264" s="48"/>
      <c r="K264" s="50"/>
    </row>
    <row r="265">
      <c r="A265" s="47"/>
      <c r="E265" s="47"/>
      <c r="F265" s="48"/>
      <c r="H265" s="49"/>
      <c r="I265" s="48"/>
      <c r="K265" s="50"/>
    </row>
    <row r="266">
      <c r="A266" s="47"/>
      <c r="E266" s="47"/>
      <c r="F266" s="48"/>
      <c r="H266" s="49"/>
      <c r="I266" s="48"/>
      <c r="K266" s="50"/>
    </row>
    <row r="267">
      <c r="A267" s="47"/>
      <c r="E267" s="47"/>
      <c r="F267" s="48"/>
      <c r="H267" s="49"/>
      <c r="I267" s="48"/>
      <c r="K267" s="50"/>
    </row>
    <row r="268">
      <c r="A268" s="47"/>
      <c r="E268" s="47"/>
      <c r="F268" s="48"/>
      <c r="H268" s="49"/>
      <c r="I268" s="48"/>
      <c r="K268" s="50"/>
    </row>
    <row r="269">
      <c r="A269" s="47"/>
      <c r="E269" s="47"/>
      <c r="F269" s="48"/>
      <c r="H269" s="49"/>
      <c r="I269" s="48"/>
      <c r="K269" s="50"/>
    </row>
    <row r="270">
      <c r="A270" s="47"/>
      <c r="E270" s="47"/>
      <c r="F270" s="48"/>
      <c r="H270" s="49"/>
      <c r="I270" s="48"/>
      <c r="K270" s="50"/>
    </row>
    <row r="271">
      <c r="A271" s="47"/>
      <c r="E271" s="47"/>
      <c r="F271" s="48"/>
      <c r="H271" s="49"/>
      <c r="I271" s="48"/>
      <c r="K271" s="50"/>
    </row>
    <row r="272">
      <c r="A272" s="47"/>
      <c r="E272" s="47"/>
      <c r="F272" s="48"/>
      <c r="H272" s="49"/>
      <c r="I272" s="48"/>
      <c r="K272" s="50"/>
    </row>
    <row r="273">
      <c r="A273" s="47"/>
      <c r="E273" s="47"/>
      <c r="F273" s="48"/>
      <c r="H273" s="49"/>
      <c r="I273" s="48"/>
      <c r="K273" s="50"/>
    </row>
    <row r="274">
      <c r="A274" s="47"/>
      <c r="E274" s="47"/>
      <c r="F274" s="48"/>
      <c r="H274" s="49"/>
      <c r="I274" s="48"/>
      <c r="K274" s="50"/>
    </row>
    <row r="275">
      <c r="A275" s="47"/>
      <c r="E275" s="47"/>
      <c r="F275" s="48"/>
      <c r="H275" s="49"/>
      <c r="I275" s="48"/>
      <c r="K275" s="50"/>
    </row>
    <row r="276">
      <c r="A276" s="47"/>
      <c r="E276" s="47"/>
      <c r="F276" s="48"/>
      <c r="H276" s="49"/>
      <c r="I276" s="48"/>
      <c r="K276" s="50"/>
    </row>
    <row r="277">
      <c r="A277" s="47"/>
      <c r="E277" s="47"/>
      <c r="F277" s="48"/>
      <c r="H277" s="49"/>
      <c r="I277" s="48"/>
      <c r="K277" s="50"/>
    </row>
    <row r="278">
      <c r="A278" s="47"/>
      <c r="E278" s="47"/>
      <c r="F278" s="48"/>
      <c r="H278" s="49"/>
      <c r="I278" s="48"/>
      <c r="K278" s="50"/>
    </row>
    <row r="279">
      <c r="A279" s="47"/>
      <c r="E279" s="47"/>
      <c r="F279" s="48"/>
      <c r="H279" s="49"/>
      <c r="I279" s="48"/>
      <c r="K279" s="50"/>
    </row>
    <row r="280">
      <c r="A280" s="47"/>
      <c r="E280" s="47"/>
      <c r="F280" s="48"/>
      <c r="H280" s="49"/>
      <c r="I280" s="48"/>
      <c r="K280" s="50"/>
    </row>
    <row r="281">
      <c r="A281" s="47"/>
      <c r="E281" s="47"/>
      <c r="F281" s="48"/>
      <c r="H281" s="49"/>
      <c r="I281" s="48"/>
      <c r="K281" s="50"/>
    </row>
    <row r="282">
      <c r="A282" s="47"/>
      <c r="E282" s="47"/>
      <c r="F282" s="48"/>
      <c r="H282" s="49"/>
      <c r="I282" s="48"/>
      <c r="K282" s="50"/>
    </row>
    <row r="283">
      <c r="A283" s="47"/>
      <c r="E283" s="47"/>
      <c r="F283" s="48"/>
      <c r="H283" s="49"/>
      <c r="I283" s="48"/>
      <c r="K283" s="50"/>
    </row>
    <row r="284">
      <c r="A284" s="47"/>
      <c r="E284" s="47"/>
      <c r="F284" s="48"/>
      <c r="H284" s="49"/>
      <c r="I284" s="48"/>
      <c r="K284" s="50"/>
    </row>
    <row r="285">
      <c r="A285" s="47"/>
      <c r="E285" s="47"/>
      <c r="F285" s="48"/>
      <c r="H285" s="49"/>
      <c r="I285" s="48"/>
      <c r="K285" s="50"/>
    </row>
    <row r="286">
      <c r="A286" s="47"/>
      <c r="E286" s="47"/>
      <c r="F286" s="48"/>
      <c r="H286" s="49"/>
      <c r="I286" s="48"/>
      <c r="K286" s="50"/>
    </row>
    <row r="287">
      <c r="A287" s="47"/>
      <c r="E287" s="47"/>
      <c r="F287" s="48"/>
      <c r="H287" s="49"/>
      <c r="I287" s="48"/>
      <c r="K287" s="50"/>
    </row>
    <row r="288">
      <c r="A288" s="47"/>
      <c r="E288" s="47"/>
      <c r="F288" s="48"/>
      <c r="H288" s="49"/>
      <c r="I288" s="48"/>
      <c r="K288" s="50"/>
    </row>
    <row r="289">
      <c r="A289" s="47"/>
      <c r="E289" s="47"/>
      <c r="F289" s="48"/>
      <c r="H289" s="49"/>
      <c r="I289" s="48"/>
      <c r="K289" s="50"/>
    </row>
    <row r="290">
      <c r="A290" s="47"/>
      <c r="E290" s="47"/>
      <c r="F290" s="48"/>
      <c r="H290" s="49"/>
      <c r="I290" s="48"/>
      <c r="K290" s="50"/>
    </row>
    <row r="291">
      <c r="A291" s="47"/>
      <c r="E291" s="47"/>
      <c r="F291" s="48"/>
      <c r="H291" s="49"/>
      <c r="I291" s="48"/>
      <c r="K291" s="50"/>
    </row>
    <row r="292">
      <c r="A292" s="47"/>
      <c r="E292" s="47"/>
      <c r="F292" s="48"/>
      <c r="H292" s="49"/>
      <c r="I292" s="48"/>
      <c r="K292" s="50"/>
    </row>
    <row r="293">
      <c r="A293" s="47"/>
      <c r="E293" s="47"/>
      <c r="F293" s="48"/>
      <c r="H293" s="49"/>
      <c r="I293" s="48"/>
      <c r="K293" s="50"/>
    </row>
    <row r="294">
      <c r="A294" s="47"/>
      <c r="E294" s="47"/>
      <c r="F294" s="48"/>
      <c r="H294" s="49"/>
      <c r="I294" s="48"/>
      <c r="K294" s="50"/>
    </row>
    <row r="295">
      <c r="A295" s="47"/>
      <c r="E295" s="47"/>
      <c r="F295" s="48"/>
      <c r="H295" s="49"/>
      <c r="I295" s="48"/>
      <c r="K295" s="50"/>
    </row>
    <row r="296">
      <c r="A296" s="47"/>
      <c r="E296" s="47"/>
      <c r="F296" s="48"/>
      <c r="H296" s="49"/>
      <c r="I296" s="48"/>
      <c r="K296" s="50"/>
    </row>
    <row r="297">
      <c r="A297" s="47"/>
      <c r="E297" s="47"/>
      <c r="F297" s="48"/>
      <c r="H297" s="49"/>
      <c r="I297" s="48"/>
      <c r="K297" s="50"/>
    </row>
    <row r="298">
      <c r="A298" s="47"/>
      <c r="E298" s="47"/>
      <c r="F298" s="48"/>
      <c r="H298" s="49"/>
      <c r="I298" s="48"/>
      <c r="K298" s="50"/>
    </row>
    <row r="299">
      <c r="A299" s="47"/>
      <c r="E299" s="47"/>
      <c r="F299" s="48"/>
      <c r="H299" s="49"/>
      <c r="I299" s="48"/>
      <c r="K299" s="50"/>
    </row>
    <row r="300">
      <c r="A300" s="47"/>
      <c r="E300" s="47"/>
      <c r="F300" s="48"/>
      <c r="H300" s="49"/>
      <c r="I300" s="48"/>
      <c r="K300" s="50"/>
    </row>
    <row r="301">
      <c r="A301" s="47"/>
      <c r="E301" s="47"/>
      <c r="F301" s="48"/>
      <c r="H301" s="49"/>
      <c r="I301" s="48"/>
      <c r="K301" s="50"/>
    </row>
    <row r="302">
      <c r="A302" s="47"/>
      <c r="E302" s="47"/>
      <c r="F302" s="48"/>
      <c r="H302" s="49"/>
      <c r="I302" s="48"/>
      <c r="K302" s="50"/>
    </row>
    <row r="303">
      <c r="A303" s="47"/>
      <c r="E303" s="47"/>
      <c r="F303" s="48"/>
      <c r="H303" s="49"/>
      <c r="I303" s="48"/>
      <c r="K303" s="50"/>
    </row>
    <row r="304">
      <c r="A304" s="47"/>
      <c r="E304" s="47"/>
      <c r="F304" s="48"/>
      <c r="H304" s="49"/>
      <c r="I304" s="48"/>
      <c r="K304" s="50"/>
    </row>
    <row r="305">
      <c r="A305" s="47"/>
      <c r="E305" s="47"/>
      <c r="F305" s="48"/>
      <c r="H305" s="49"/>
      <c r="I305" s="48"/>
      <c r="K305" s="50"/>
    </row>
    <row r="306">
      <c r="A306" s="47"/>
      <c r="E306" s="47"/>
      <c r="F306" s="48"/>
      <c r="H306" s="49"/>
      <c r="I306" s="48"/>
      <c r="K306" s="50"/>
    </row>
    <row r="307">
      <c r="A307" s="47"/>
      <c r="E307" s="47"/>
      <c r="F307" s="48"/>
      <c r="H307" s="49"/>
      <c r="I307" s="48"/>
      <c r="K307" s="50"/>
    </row>
    <row r="308">
      <c r="A308" s="47"/>
      <c r="E308" s="47"/>
      <c r="F308" s="48"/>
      <c r="H308" s="49"/>
      <c r="I308" s="48"/>
      <c r="K308" s="50"/>
    </row>
    <row r="309">
      <c r="A309" s="47"/>
      <c r="E309" s="47"/>
      <c r="F309" s="48"/>
      <c r="H309" s="49"/>
      <c r="I309" s="48"/>
      <c r="K309" s="50"/>
    </row>
    <row r="310">
      <c r="A310" s="47"/>
      <c r="E310" s="47"/>
      <c r="F310" s="48"/>
      <c r="H310" s="49"/>
      <c r="I310" s="48"/>
      <c r="K310" s="50"/>
    </row>
    <row r="311">
      <c r="A311" s="47"/>
      <c r="E311" s="47"/>
      <c r="F311" s="48"/>
      <c r="H311" s="49"/>
      <c r="I311" s="48"/>
      <c r="K311" s="50"/>
    </row>
    <row r="312">
      <c r="A312" s="47"/>
      <c r="E312" s="47"/>
      <c r="F312" s="48"/>
      <c r="H312" s="49"/>
      <c r="I312" s="48"/>
      <c r="K312" s="50"/>
    </row>
    <row r="313">
      <c r="A313" s="47"/>
      <c r="E313" s="47"/>
      <c r="F313" s="48"/>
      <c r="H313" s="49"/>
      <c r="I313" s="48"/>
      <c r="K313" s="50"/>
    </row>
    <row r="314">
      <c r="A314" s="47"/>
      <c r="E314" s="47"/>
      <c r="F314" s="48"/>
      <c r="H314" s="49"/>
      <c r="I314" s="48"/>
      <c r="K314" s="50"/>
    </row>
    <row r="315">
      <c r="A315" s="47"/>
      <c r="E315" s="47"/>
      <c r="F315" s="48"/>
      <c r="H315" s="49"/>
      <c r="I315" s="48"/>
      <c r="K315" s="50"/>
    </row>
    <row r="316">
      <c r="A316" s="47"/>
      <c r="E316" s="47"/>
      <c r="F316" s="48"/>
      <c r="H316" s="49"/>
      <c r="I316" s="48"/>
      <c r="K316" s="50"/>
    </row>
    <row r="317">
      <c r="A317" s="47"/>
      <c r="E317" s="47"/>
      <c r="F317" s="48"/>
      <c r="H317" s="49"/>
      <c r="I317" s="48"/>
      <c r="K317" s="50"/>
    </row>
    <row r="318">
      <c r="A318" s="47"/>
      <c r="E318" s="47"/>
      <c r="F318" s="48"/>
      <c r="H318" s="49"/>
      <c r="I318" s="48"/>
      <c r="K318" s="50"/>
    </row>
    <row r="319">
      <c r="A319" s="47"/>
      <c r="E319" s="47"/>
      <c r="F319" s="48"/>
      <c r="H319" s="49"/>
      <c r="I319" s="48"/>
      <c r="K319" s="50"/>
    </row>
    <row r="320">
      <c r="A320" s="47"/>
      <c r="E320" s="47"/>
      <c r="F320" s="48"/>
      <c r="H320" s="49"/>
      <c r="I320" s="48"/>
      <c r="K320" s="50"/>
    </row>
    <row r="321">
      <c r="A321" s="47"/>
      <c r="E321" s="47"/>
      <c r="F321" s="48"/>
      <c r="H321" s="49"/>
      <c r="I321" s="48"/>
      <c r="K321" s="50"/>
    </row>
    <row r="322">
      <c r="A322" s="47"/>
      <c r="E322" s="47"/>
      <c r="F322" s="48"/>
      <c r="H322" s="49"/>
      <c r="I322" s="48"/>
      <c r="K322" s="50"/>
    </row>
    <row r="323">
      <c r="A323" s="47"/>
      <c r="E323" s="47"/>
      <c r="F323" s="48"/>
      <c r="H323" s="49"/>
      <c r="I323" s="48"/>
      <c r="K323" s="50"/>
    </row>
    <row r="324">
      <c r="A324" s="47"/>
      <c r="E324" s="47"/>
      <c r="F324" s="48"/>
      <c r="H324" s="49"/>
      <c r="I324" s="48"/>
      <c r="K324" s="50"/>
    </row>
    <row r="325">
      <c r="A325" s="47"/>
      <c r="E325" s="47"/>
      <c r="F325" s="48"/>
      <c r="H325" s="49"/>
      <c r="I325" s="48"/>
      <c r="K325" s="50"/>
    </row>
    <row r="326">
      <c r="A326" s="47"/>
      <c r="E326" s="47"/>
      <c r="F326" s="48"/>
      <c r="H326" s="49"/>
      <c r="I326" s="48"/>
      <c r="K326" s="50"/>
    </row>
    <row r="327">
      <c r="A327" s="47"/>
      <c r="E327" s="47"/>
      <c r="F327" s="48"/>
      <c r="H327" s="49"/>
      <c r="I327" s="48"/>
      <c r="K327" s="50"/>
    </row>
    <row r="328">
      <c r="A328" s="47"/>
      <c r="E328" s="47"/>
      <c r="F328" s="48"/>
      <c r="H328" s="49"/>
      <c r="I328" s="48"/>
      <c r="K328" s="50"/>
    </row>
    <row r="329">
      <c r="A329" s="47"/>
      <c r="E329" s="47"/>
      <c r="F329" s="48"/>
      <c r="H329" s="49"/>
      <c r="I329" s="48"/>
      <c r="K329" s="50"/>
    </row>
    <row r="330">
      <c r="A330" s="47"/>
      <c r="E330" s="47"/>
      <c r="F330" s="48"/>
      <c r="H330" s="49"/>
      <c r="I330" s="48"/>
      <c r="K330" s="50"/>
    </row>
    <row r="331">
      <c r="A331" s="47"/>
      <c r="E331" s="47"/>
      <c r="F331" s="48"/>
      <c r="H331" s="49"/>
      <c r="I331" s="48"/>
      <c r="K331" s="50"/>
    </row>
    <row r="332">
      <c r="A332" s="47"/>
      <c r="E332" s="47"/>
      <c r="F332" s="48"/>
      <c r="H332" s="49"/>
      <c r="I332" s="48"/>
      <c r="K332" s="50"/>
    </row>
    <row r="333">
      <c r="A333" s="47"/>
      <c r="E333" s="47"/>
      <c r="F333" s="48"/>
      <c r="H333" s="49"/>
      <c r="I333" s="48"/>
      <c r="K333" s="50"/>
    </row>
    <row r="334">
      <c r="A334" s="47"/>
      <c r="E334" s="47"/>
      <c r="F334" s="48"/>
      <c r="H334" s="49"/>
      <c r="I334" s="48"/>
      <c r="K334" s="50"/>
    </row>
    <row r="335">
      <c r="A335" s="47"/>
      <c r="E335" s="47"/>
      <c r="F335" s="48"/>
      <c r="H335" s="49"/>
      <c r="I335" s="48"/>
      <c r="K335" s="50"/>
    </row>
    <row r="336">
      <c r="A336" s="47"/>
      <c r="E336" s="47"/>
      <c r="F336" s="48"/>
      <c r="H336" s="49"/>
      <c r="I336" s="48"/>
      <c r="K336" s="50"/>
    </row>
    <row r="337">
      <c r="A337" s="47"/>
      <c r="E337" s="47"/>
      <c r="F337" s="48"/>
      <c r="H337" s="49"/>
      <c r="I337" s="48"/>
      <c r="K337" s="50"/>
    </row>
    <row r="338">
      <c r="A338" s="47"/>
      <c r="E338" s="47"/>
      <c r="F338" s="48"/>
      <c r="H338" s="49"/>
      <c r="I338" s="48"/>
      <c r="K338" s="50"/>
    </row>
    <row r="339">
      <c r="A339" s="47"/>
      <c r="E339" s="47"/>
      <c r="F339" s="48"/>
      <c r="H339" s="49"/>
      <c r="I339" s="48"/>
      <c r="K339" s="50"/>
    </row>
    <row r="340">
      <c r="A340" s="47"/>
      <c r="E340" s="47"/>
      <c r="F340" s="48"/>
      <c r="H340" s="49"/>
      <c r="I340" s="48"/>
      <c r="K340" s="50"/>
    </row>
    <row r="341">
      <c r="A341" s="47"/>
      <c r="E341" s="47"/>
      <c r="F341" s="48"/>
      <c r="H341" s="49"/>
      <c r="I341" s="48"/>
      <c r="K341" s="50"/>
    </row>
    <row r="342">
      <c r="A342" s="47"/>
      <c r="E342" s="47"/>
      <c r="F342" s="48"/>
      <c r="H342" s="49"/>
      <c r="I342" s="48"/>
      <c r="K342" s="50"/>
    </row>
    <row r="343">
      <c r="A343" s="47"/>
      <c r="E343" s="47"/>
      <c r="F343" s="48"/>
      <c r="H343" s="49"/>
      <c r="I343" s="48"/>
      <c r="K343" s="50"/>
    </row>
    <row r="344">
      <c r="A344" s="47"/>
      <c r="E344" s="47"/>
      <c r="F344" s="48"/>
      <c r="H344" s="49"/>
      <c r="I344" s="48"/>
      <c r="K344" s="50"/>
    </row>
    <row r="345">
      <c r="A345" s="47"/>
      <c r="E345" s="47"/>
      <c r="F345" s="48"/>
      <c r="H345" s="49"/>
      <c r="I345" s="48"/>
      <c r="K345" s="50"/>
    </row>
    <row r="346">
      <c r="A346" s="47"/>
      <c r="E346" s="47"/>
      <c r="F346" s="48"/>
      <c r="H346" s="49"/>
      <c r="I346" s="48"/>
      <c r="K346" s="50"/>
    </row>
    <row r="347">
      <c r="A347" s="47"/>
      <c r="E347" s="47"/>
      <c r="F347" s="48"/>
      <c r="H347" s="49"/>
      <c r="I347" s="48"/>
      <c r="K347" s="50"/>
    </row>
    <row r="348">
      <c r="A348" s="47"/>
      <c r="E348" s="47"/>
      <c r="F348" s="48"/>
      <c r="H348" s="49"/>
      <c r="I348" s="48"/>
      <c r="K348" s="50"/>
    </row>
    <row r="349">
      <c r="A349" s="47"/>
      <c r="E349" s="47"/>
      <c r="F349" s="48"/>
      <c r="H349" s="49"/>
      <c r="I349" s="48"/>
      <c r="K349" s="50"/>
    </row>
    <row r="350">
      <c r="A350" s="47"/>
      <c r="E350" s="47"/>
      <c r="F350" s="48"/>
      <c r="H350" s="49"/>
      <c r="I350" s="48"/>
      <c r="K350" s="50"/>
    </row>
    <row r="351">
      <c r="A351" s="47"/>
      <c r="E351" s="47"/>
      <c r="F351" s="48"/>
      <c r="H351" s="49"/>
      <c r="I351" s="48"/>
      <c r="K351" s="50"/>
    </row>
    <row r="352">
      <c r="A352" s="47"/>
      <c r="E352" s="47"/>
      <c r="F352" s="48"/>
      <c r="H352" s="49"/>
      <c r="I352" s="48"/>
      <c r="K352" s="50"/>
    </row>
    <row r="353">
      <c r="A353" s="47"/>
      <c r="E353" s="47"/>
      <c r="F353" s="48"/>
      <c r="H353" s="49"/>
      <c r="I353" s="48"/>
      <c r="K353" s="50"/>
    </row>
    <row r="354">
      <c r="A354" s="47"/>
      <c r="E354" s="47"/>
      <c r="F354" s="48"/>
      <c r="H354" s="49"/>
      <c r="I354" s="48"/>
      <c r="K354" s="50"/>
    </row>
    <row r="355">
      <c r="A355" s="47"/>
      <c r="E355" s="47"/>
      <c r="F355" s="48"/>
      <c r="H355" s="49"/>
      <c r="I355" s="48"/>
      <c r="K355" s="50"/>
    </row>
    <row r="356">
      <c r="A356" s="47"/>
      <c r="E356" s="47"/>
      <c r="F356" s="48"/>
      <c r="H356" s="49"/>
      <c r="I356" s="48"/>
      <c r="K356" s="50"/>
    </row>
    <row r="357">
      <c r="A357" s="47"/>
      <c r="E357" s="47"/>
      <c r="F357" s="48"/>
      <c r="H357" s="49"/>
      <c r="I357" s="48"/>
      <c r="K357" s="50"/>
    </row>
    <row r="358">
      <c r="A358" s="47"/>
      <c r="E358" s="47"/>
      <c r="F358" s="48"/>
      <c r="H358" s="49"/>
      <c r="I358" s="48"/>
      <c r="K358" s="50"/>
    </row>
    <row r="359">
      <c r="A359" s="47"/>
      <c r="E359" s="47"/>
      <c r="F359" s="48"/>
      <c r="H359" s="49"/>
      <c r="I359" s="48"/>
      <c r="K359" s="50"/>
    </row>
    <row r="360">
      <c r="A360" s="47"/>
      <c r="E360" s="47"/>
      <c r="F360" s="48"/>
      <c r="H360" s="49"/>
      <c r="I360" s="48"/>
      <c r="K360" s="50"/>
    </row>
    <row r="361">
      <c r="A361" s="47"/>
      <c r="E361" s="47"/>
      <c r="F361" s="48"/>
      <c r="H361" s="49"/>
      <c r="I361" s="48"/>
      <c r="K361" s="50"/>
    </row>
    <row r="362">
      <c r="A362" s="47"/>
      <c r="E362" s="47"/>
      <c r="F362" s="48"/>
      <c r="H362" s="49"/>
      <c r="I362" s="48"/>
      <c r="K362" s="50"/>
    </row>
    <row r="363">
      <c r="A363" s="47"/>
      <c r="E363" s="47"/>
      <c r="F363" s="48"/>
      <c r="H363" s="49"/>
      <c r="I363" s="48"/>
      <c r="K363" s="50"/>
    </row>
    <row r="364">
      <c r="A364" s="47"/>
      <c r="E364" s="47"/>
      <c r="F364" s="48"/>
      <c r="H364" s="49"/>
      <c r="I364" s="48"/>
      <c r="K364" s="50"/>
    </row>
    <row r="365">
      <c r="A365" s="47"/>
      <c r="E365" s="47"/>
      <c r="F365" s="48"/>
      <c r="H365" s="49"/>
      <c r="I365" s="48"/>
      <c r="K365" s="50"/>
    </row>
    <row r="366">
      <c r="A366" s="47"/>
      <c r="E366" s="47"/>
      <c r="F366" s="48"/>
      <c r="H366" s="49"/>
      <c r="I366" s="48"/>
      <c r="K366" s="50"/>
    </row>
    <row r="367">
      <c r="A367" s="47"/>
      <c r="E367" s="47"/>
      <c r="F367" s="48"/>
      <c r="H367" s="49"/>
      <c r="I367" s="48"/>
      <c r="K367" s="50"/>
    </row>
    <row r="368">
      <c r="A368" s="47"/>
      <c r="E368" s="47"/>
      <c r="F368" s="48"/>
      <c r="H368" s="49"/>
      <c r="I368" s="48"/>
      <c r="K368" s="50"/>
    </row>
    <row r="369">
      <c r="A369" s="47"/>
      <c r="E369" s="47"/>
      <c r="F369" s="48"/>
      <c r="H369" s="49"/>
      <c r="I369" s="48"/>
      <c r="K369" s="50"/>
    </row>
    <row r="370">
      <c r="A370" s="47"/>
      <c r="E370" s="47"/>
      <c r="F370" s="48"/>
      <c r="H370" s="49"/>
      <c r="I370" s="48"/>
      <c r="K370" s="50"/>
    </row>
    <row r="371">
      <c r="A371" s="47"/>
      <c r="E371" s="47"/>
      <c r="F371" s="48"/>
      <c r="H371" s="49"/>
      <c r="I371" s="48"/>
      <c r="K371" s="50"/>
    </row>
    <row r="372">
      <c r="A372" s="47"/>
      <c r="E372" s="47"/>
      <c r="F372" s="48"/>
      <c r="H372" s="49"/>
      <c r="I372" s="48"/>
      <c r="K372" s="50"/>
    </row>
    <row r="373">
      <c r="A373" s="47"/>
      <c r="E373" s="47"/>
      <c r="F373" s="48"/>
      <c r="H373" s="49"/>
      <c r="I373" s="48"/>
      <c r="K373" s="50"/>
    </row>
    <row r="374">
      <c r="A374" s="47"/>
      <c r="E374" s="47"/>
      <c r="F374" s="48"/>
      <c r="H374" s="49"/>
      <c r="I374" s="48"/>
      <c r="K374" s="50"/>
    </row>
    <row r="375">
      <c r="A375" s="47"/>
      <c r="E375" s="47"/>
      <c r="F375" s="48"/>
      <c r="H375" s="49"/>
      <c r="I375" s="48"/>
      <c r="K375" s="50"/>
    </row>
    <row r="376">
      <c r="A376" s="47"/>
      <c r="E376" s="47"/>
      <c r="F376" s="48"/>
      <c r="H376" s="49"/>
      <c r="I376" s="48"/>
      <c r="K376" s="50"/>
    </row>
    <row r="377">
      <c r="A377" s="47"/>
      <c r="E377" s="47"/>
      <c r="F377" s="48"/>
      <c r="H377" s="49"/>
      <c r="I377" s="48"/>
      <c r="K377" s="50"/>
    </row>
    <row r="378">
      <c r="A378" s="47"/>
      <c r="E378" s="47"/>
      <c r="F378" s="48"/>
      <c r="H378" s="49"/>
      <c r="I378" s="48"/>
      <c r="K378" s="50"/>
    </row>
    <row r="379">
      <c r="A379" s="47"/>
      <c r="E379" s="47"/>
      <c r="F379" s="48"/>
      <c r="H379" s="49"/>
      <c r="I379" s="48"/>
      <c r="K379" s="50"/>
    </row>
    <row r="380">
      <c r="A380" s="47"/>
      <c r="E380" s="47"/>
      <c r="F380" s="48"/>
      <c r="H380" s="49"/>
      <c r="I380" s="48"/>
      <c r="K380" s="50"/>
    </row>
    <row r="381">
      <c r="A381" s="47"/>
      <c r="E381" s="47"/>
      <c r="F381" s="48"/>
      <c r="H381" s="49"/>
      <c r="I381" s="48"/>
      <c r="K381" s="50"/>
    </row>
    <row r="382">
      <c r="A382" s="47"/>
      <c r="E382" s="47"/>
      <c r="F382" s="48"/>
      <c r="H382" s="49"/>
      <c r="I382" s="48"/>
      <c r="K382" s="50"/>
    </row>
    <row r="383">
      <c r="A383" s="47"/>
      <c r="E383" s="47"/>
      <c r="F383" s="48"/>
      <c r="H383" s="49"/>
      <c r="I383" s="48"/>
      <c r="K383" s="50"/>
    </row>
    <row r="384">
      <c r="A384" s="47"/>
      <c r="E384" s="47"/>
      <c r="F384" s="48"/>
      <c r="H384" s="49"/>
      <c r="I384" s="48"/>
      <c r="K384" s="50"/>
    </row>
    <row r="385">
      <c r="A385" s="47"/>
      <c r="E385" s="47"/>
      <c r="F385" s="48"/>
      <c r="H385" s="49"/>
      <c r="I385" s="48"/>
      <c r="K385" s="50"/>
    </row>
    <row r="386">
      <c r="A386" s="47"/>
      <c r="E386" s="47"/>
      <c r="F386" s="48"/>
      <c r="H386" s="49"/>
      <c r="I386" s="48"/>
      <c r="K386" s="50"/>
    </row>
    <row r="387">
      <c r="A387" s="47"/>
      <c r="E387" s="47"/>
      <c r="F387" s="48"/>
      <c r="H387" s="49"/>
      <c r="I387" s="48"/>
      <c r="K387" s="50"/>
    </row>
    <row r="388">
      <c r="A388" s="47"/>
      <c r="E388" s="47"/>
      <c r="F388" s="48"/>
      <c r="H388" s="49"/>
      <c r="I388" s="48"/>
      <c r="K388" s="50"/>
    </row>
    <row r="389">
      <c r="A389" s="47"/>
      <c r="E389" s="47"/>
      <c r="F389" s="48"/>
      <c r="H389" s="49"/>
      <c r="I389" s="48"/>
      <c r="K389" s="50"/>
    </row>
    <row r="390">
      <c r="A390" s="47"/>
      <c r="E390" s="47"/>
      <c r="F390" s="48"/>
      <c r="H390" s="49"/>
      <c r="I390" s="48"/>
      <c r="K390" s="50"/>
    </row>
    <row r="391">
      <c r="A391" s="47"/>
      <c r="E391" s="47"/>
      <c r="F391" s="48"/>
      <c r="H391" s="49"/>
      <c r="I391" s="48"/>
      <c r="K391" s="50"/>
    </row>
    <row r="392">
      <c r="A392" s="47"/>
      <c r="E392" s="47"/>
      <c r="F392" s="48"/>
      <c r="H392" s="49"/>
      <c r="I392" s="48"/>
      <c r="K392" s="50"/>
    </row>
    <row r="393">
      <c r="A393" s="47"/>
      <c r="E393" s="47"/>
      <c r="F393" s="48"/>
      <c r="H393" s="49"/>
      <c r="I393" s="48"/>
      <c r="K393" s="50"/>
    </row>
    <row r="394">
      <c r="A394" s="47"/>
      <c r="E394" s="47"/>
      <c r="F394" s="48"/>
      <c r="H394" s="49"/>
      <c r="I394" s="48"/>
      <c r="K394" s="50"/>
    </row>
    <row r="395">
      <c r="A395" s="47"/>
      <c r="E395" s="47"/>
      <c r="F395" s="48"/>
      <c r="H395" s="49"/>
      <c r="I395" s="48"/>
      <c r="K395" s="50"/>
    </row>
    <row r="396">
      <c r="A396" s="47"/>
      <c r="E396" s="47"/>
      <c r="F396" s="48"/>
      <c r="H396" s="49"/>
      <c r="I396" s="48"/>
      <c r="K396" s="50"/>
    </row>
    <row r="397">
      <c r="A397" s="47"/>
      <c r="E397" s="47"/>
      <c r="F397" s="48"/>
      <c r="H397" s="49"/>
      <c r="I397" s="48"/>
      <c r="K397" s="50"/>
    </row>
    <row r="398">
      <c r="A398" s="47"/>
      <c r="E398" s="47"/>
      <c r="F398" s="48"/>
      <c r="H398" s="49"/>
      <c r="I398" s="48"/>
      <c r="K398" s="50"/>
    </row>
    <row r="399">
      <c r="A399" s="47"/>
      <c r="E399" s="47"/>
      <c r="F399" s="48"/>
      <c r="H399" s="49"/>
      <c r="I399" s="48"/>
      <c r="K399" s="50"/>
    </row>
    <row r="400">
      <c r="A400" s="47"/>
      <c r="E400" s="47"/>
      <c r="F400" s="48"/>
      <c r="H400" s="49"/>
      <c r="I400" s="48"/>
      <c r="K400" s="50"/>
    </row>
    <row r="401">
      <c r="A401" s="47"/>
      <c r="E401" s="47"/>
      <c r="F401" s="48"/>
      <c r="H401" s="49"/>
      <c r="I401" s="48"/>
      <c r="K401" s="50"/>
    </row>
    <row r="402">
      <c r="A402" s="47"/>
      <c r="E402" s="47"/>
      <c r="F402" s="48"/>
      <c r="H402" s="49"/>
      <c r="I402" s="48"/>
      <c r="K402" s="50"/>
    </row>
    <row r="403">
      <c r="A403" s="47"/>
      <c r="E403" s="47"/>
      <c r="F403" s="48"/>
      <c r="H403" s="49"/>
      <c r="I403" s="48"/>
      <c r="K403" s="50"/>
    </row>
    <row r="404">
      <c r="A404" s="47"/>
      <c r="E404" s="47"/>
      <c r="F404" s="48"/>
      <c r="H404" s="49"/>
      <c r="I404" s="48"/>
      <c r="K404" s="50"/>
    </row>
    <row r="405">
      <c r="A405" s="47"/>
      <c r="E405" s="47"/>
      <c r="F405" s="48"/>
      <c r="H405" s="49"/>
      <c r="I405" s="48"/>
      <c r="K405" s="50"/>
    </row>
    <row r="406">
      <c r="A406" s="47"/>
      <c r="E406" s="47"/>
      <c r="F406" s="48"/>
      <c r="H406" s="49"/>
      <c r="I406" s="48"/>
      <c r="K406" s="50"/>
    </row>
    <row r="407">
      <c r="A407" s="47"/>
      <c r="E407" s="47"/>
      <c r="F407" s="48"/>
      <c r="H407" s="49"/>
      <c r="I407" s="48"/>
      <c r="K407" s="50"/>
    </row>
    <row r="408">
      <c r="A408" s="47"/>
      <c r="E408" s="47"/>
      <c r="F408" s="48"/>
      <c r="H408" s="49"/>
      <c r="I408" s="48"/>
      <c r="K408" s="50"/>
    </row>
    <row r="409">
      <c r="A409" s="47"/>
      <c r="E409" s="47"/>
      <c r="F409" s="48"/>
      <c r="H409" s="49"/>
      <c r="I409" s="48"/>
      <c r="K409" s="50"/>
    </row>
    <row r="410">
      <c r="A410" s="47"/>
      <c r="E410" s="47"/>
      <c r="F410" s="48"/>
      <c r="H410" s="49"/>
      <c r="I410" s="48"/>
      <c r="K410" s="50"/>
    </row>
    <row r="411">
      <c r="A411" s="47"/>
      <c r="E411" s="47"/>
      <c r="F411" s="48"/>
      <c r="H411" s="49"/>
      <c r="I411" s="48"/>
      <c r="K411" s="50"/>
    </row>
    <row r="412">
      <c r="A412" s="47"/>
      <c r="E412" s="47"/>
      <c r="F412" s="48"/>
      <c r="H412" s="49"/>
      <c r="I412" s="48"/>
      <c r="K412" s="50"/>
    </row>
    <row r="413">
      <c r="A413" s="47"/>
      <c r="E413" s="47"/>
      <c r="F413" s="48"/>
      <c r="H413" s="49"/>
      <c r="I413" s="48"/>
      <c r="K413" s="50"/>
    </row>
    <row r="414">
      <c r="A414" s="47"/>
      <c r="E414" s="47"/>
      <c r="F414" s="48"/>
      <c r="H414" s="49"/>
      <c r="I414" s="48"/>
      <c r="K414" s="50"/>
    </row>
    <row r="415">
      <c r="A415" s="47"/>
      <c r="E415" s="47"/>
      <c r="F415" s="48"/>
      <c r="H415" s="49"/>
      <c r="I415" s="48"/>
      <c r="K415" s="50"/>
    </row>
    <row r="416">
      <c r="A416" s="47"/>
      <c r="E416" s="47"/>
      <c r="F416" s="48"/>
      <c r="H416" s="49"/>
      <c r="I416" s="48"/>
      <c r="K416" s="50"/>
    </row>
    <row r="417">
      <c r="A417" s="47"/>
      <c r="E417" s="47"/>
      <c r="F417" s="48"/>
      <c r="H417" s="49"/>
      <c r="I417" s="48"/>
      <c r="K417" s="50"/>
    </row>
    <row r="418">
      <c r="A418" s="47"/>
      <c r="E418" s="47"/>
      <c r="F418" s="48"/>
      <c r="H418" s="49"/>
      <c r="I418" s="48"/>
      <c r="K418" s="50"/>
    </row>
    <row r="419">
      <c r="A419" s="47"/>
      <c r="E419" s="47"/>
      <c r="F419" s="48"/>
      <c r="H419" s="49"/>
      <c r="I419" s="48"/>
      <c r="K419" s="50"/>
    </row>
    <row r="420">
      <c r="A420" s="47"/>
      <c r="E420" s="47"/>
      <c r="F420" s="48"/>
      <c r="H420" s="49"/>
      <c r="I420" s="48"/>
      <c r="K420" s="50"/>
    </row>
    <row r="421">
      <c r="A421" s="47"/>
      <c r="E421" s="47"/>
      <c r="F421" s="48"/>
      <c r="H421" s="49"/>
      <c r="I421" s="48"/>
      <c r="K421" s="50"/>
    </row>
    <row r="422">
      <c r="A422" s="47"/>
      <c r="E422" s="47"/>
      <c r="F422" s="48"/>
      <c r="H422" s="49"/>
      <c r="I422" s="48"/>
      <c r="K422" s="50"/>
    </row>
    <row r="423">
      <c r="A423" s="47"/>
      <c r="E423" s="47"/>
      <c r="F423" s="48"/>
      <c r="H423" s="49"/>
      <c r="I423" s="48"/>
      <c r="K423" s="50"/>
    </row>
    <row r="424">
      <c r="A424" s="47"/>
      <c r="E424" s="47"/>
      <c r="F424" s="48"/>
      <c r="H424" s="49"/>
      <c r="I424" s="48"/>
      <c r="K424" s="50"/>
    </row>
    <row r="425">
      <c r="A425" s="47"/>
      <c r="E425" s="47"/>
      <c r="F425" s="48"/>
      <c r="H425" s="49"/>
      <c r="I425" s="48"/>
      <c r="K425" s="50"/>
    </row>
    <row r="426">
      <c r="A426" s="47"/>
      <c r="E426" s="47"/>
      <c r="F426" s="48"/>
      <c r="H426" s="49"/>
      <c r="I426" s="48"/>
      <c r="K426" s="50"/>
    </row>
    <row r="427">
      <c r="A427" s="47"/>
      <c r="E427" s="47"/>
      <c r="F427" s="48"/>
      <c r="H427" s="49"/>
      <c r="I427" s="48"/>
      <c r="K427" s="50"/>
    </row>
    <row r="428">
      <c r="A428" s="47"/>
      <c r="E428" s="47"/>
      <c r="F428" s="48"/>
      <c r="H428" s="49"/>
      <c r="I428" s="48"/>
      <c r="K428" s="50"/>
    </row>
    <row r="429">
      <c r="A429" s="47"/>
      <c r="E429" s="47"/>
      <c r="F429" s="48"/>
      <c r="H429" s="49"/>
      <c r="I429" s="48"/>
      <c r="K429" s="50"/>
    </row>
    <row r="430">
      <c r="A430" s="47"/>
      <c r="E430" s="47"/>
      <c r="F430" s="48"/>
      <c r="H430" s="49"/>
      <c r="I430" s="48"/>
      <c r="K430" s="50"/>
    </row>
    <row r="431">
      <c r="A431" s="47"/>
      <c r="E431" s="47"/>
      <c r="F431" s="48"/>
      <c r="H431" s="49"/>
      <c r="I431" s="48"/>
      <c r="K431" s="50"/>
    </row>
    <row r="432">
      <c r="A432" s="47"/>
      <c r="E432" s="47"/>
      <c r="F432" s="48"/>
      <c r="H432" s="49"/>
      <c r="I432" s="48"/>
      <c r="K432" s="50"/>
    </row>
    <row r="433">
      <c r="A433" s="47"/>
      <c r="E433" s="47"/>
      <c r="F433" s="48"/>
      <c r="H433" s="49"/>
      <c r="I433" s="48"/>
      <c r="K433" s="50"/>
    </row>
    <row r="434">
      <c r="A434" s="47"/>
      <c r="E434" s="47"/>
      <c r="F434" s="48"/>
      <c r="H434" s="49"/>
      <c r="I434" s="48"/>
      <c r="K434" s="50"/>
    </row>
    <row r="435">
      <c r="A435" s="47"/>
      <c r="E435" s="47"/>
      <c r="F435" s="48"/>
      <c r="H435" s="49"/>
      <c r="I435" s="48"/>
      <c r="K435" s="50"/>
    </row>
    <row r="436">
      <c r="A436" s="47"/>
      <c r="E436" s="47"/>
      <c r="F436" s="48"/>
      <c r="H436" s="49"/>
      <c r="I436" s="48"/>
      <c r="K436" s="50"/>
    </row>
    <row r="437">
      <c r="A437" s="47"/>
      <c r="E437" s="47"/>
      <c r="F437" s="48"/>
      <c r="H437" s="49"/>
      <c r="I437" s="48"/>
      <c r="K437" s="50"/>
    </row>
    <row r="438">
      <c r="A438" s="47"/>
      <c r="E438" s="47"/>
      <c r="F438" s="48"/>
      <c r="H438" s="49"/>
      <c r="I438" s="48"/>
      <c r="K438" s="50"/>
    </row>
    <row r="439">
      <c r="A439" s="47"/>
      <c r="E439" s="47"/>
      <c r="F439" s="48"/>
      <c r="H439" s="49"/>
      <c r="I439" s="48"/>
      <c r="K439" s="50"/>
    </row>
    <row r="440">
      <c r="A440" s="47"/>
      <c r="E440" s="47"/>
      <c r="F440" s="48"/>
      <c r="H440" s="49"/>
      <c r="I440" s="48"/>
      <c r="K440" s="50"/>
    </row>
    <row r="441">
      <c r="A441" s="47"/>
      <c r="E441" s="47"/>
      <c r="F441" s="48"/>
      <c r="H441" s="49"/>
      <c r="I441" s="48"/>
      <c r="K441" s="50"/>
    </row>
    <row r="442">
      <c r="A442" s="47"/>
      <c r="E442" s="47"/>
      <c r="F442" s="48"/>
      <c r="H442" s="49"/>
      <c r="I442" s="48"/>
      <c r="K442" s="50"/>
    </row>
    <row r="443">
      <c r="A443" s="47"/>
      <c r="E443" s="47"/>
      <c r="F443" s="48"/>
      <c r="H443" s="49"/>
      <c r="I443" s="48"/>
      <c r="K443" s="50"/>
    </row>
    <row r="444">
      <c r="A444" s="47"/>
      <c r="E444" s="47"/>
      <c r="F444" s="48"/>
      <c r="H444" s="49"/>
      <c r="I444" s="48"/>
      <c r="K444" s="50"/>
    </row>
    <row r="445">
      <c r="A445" s="47"/>
      <c r="E445" s="47"/>
      <c r="F445" s="48"/>
      <c r="H445" s="49"/>
      <c r="I445" s="48"/>
      <c r="K445" s="50"/>
    </row>
    <row r="446">
      <c r="A446" s="47"/>
      <c r="E446" s="47"/>
      <c r="F446" s="48"/>
      <c r="H446" s="49"/>
      <c r="I446" s="48"/>
      <c r="K446" s="50"/>
    </row>
    <row r="447">
      <c r="A447" s="47"/>
      <c r="E447" s="47"/>
      <c r="F447" s="48"/>
      <c r="H447" s="49"/>
      <c r="I447" s="48"/>
      <c r="K447" s="50"/>
    </row>
    <row r="448">
      <c r="A448" s="47"/>
      <c r="E448" s="47"/>
      <c r="F448" s="48"/>
      <c r="H448" s="49"/>
      <c r="I448" s="48"/>
      <c r="K448" s="50"/>
    </row>
    <row r="449">
      <c r="A449" s="47"/>
      <c r="E449" s="47"/>
      <c r="F449" s="48"/>
      <c r="H449" s="49"/>
      <c r="I449" s="48"/>
      <c r="K449" s="50"/>
    </row>
    <row r="450">
      <c r="A450" s="47"/>
      <c r="E450" s="47"/>
      <c r="F450" s="48"/>
      <c r="H450" s="49"/>
      <c r="I450" s="48"/>
      <c r="K450" s="50"/>
    </row>
    <row r="451">
      <c r="A451" s="47"/>
      <c r="E451" s="47"/>
      <c r="F451" s="48"/>
      <c r="H451" s="49"/>
      <c r="I451" s="48"/>
      <c r="K451" s="50"/>
    </row>
    <row r="452">
      <c r="A452" s="47"/>
      <c r="E452" s="47"/>
      <c r="F452" s="48"/>
      <c r="H452" s="49"/>
      <c r="I452" s="48"/>
      <c r="K452" s="50"/>
    </row>
    <row r="453">
      <c r="A453" s="47"/>
      <c r="E453" s="47"/>
      <c r="F453" s="48"/>
      <c r="H453" s="49"/>
      <c r="I453" s="48"/>
      <c r="K453" s="50"/>
    </row>
    <row r="454">
      <c r="A454" s="47"/>
      <c r="E454" s="47"/>
      <c r="F454" s="48"/>
      <c r="H454" s="49"/>
      <c r="I454" s="48"/>
      <c r="K454" s="50"/>
    </row>
    <row r="455">
      <c r="A455" s="47"/>
      <c r="E455" s="47"/>
      <c r="F455" s="48"/>
      <c r="H455" s="49"/>
      <c r="I455" s="48"/>
      <c r="K455" s="50"/>
    </row>
    <row r="456">
      <c r="A456" s="47"/>
      <c r="E456" s="47"/>
      <c r="F456" s="48"/>
      <c r="H456" s="49"/>
      <c r="I456" s="48"/>
      <c r="K456" s="50"/>
    </row>
    <row r="457">
      <c r="A457" s="47"/>
      <c r="E457" s="47"/>
      <c r="F457" s="48"/>
      <c r="H457" s="49"/>
      <c r="I457" s="48"/>
      <c r="K457" s="50"/>
    </row>
    <row r="458">
      <c r="A458" s="47"/>
      <c r="E458" s="47"/>
      <c r="F458" s="48"/>
      <c r="H458" s="49"/>
      <c r="I458" s="48"/>
      <c r="K458" s="50"/>
    </row>
    <row r="459">
      <c r="A459" s="47"/>
      <c r="E459" s="47"/>
      <c r="F459" s="48"/>
      <c r="H459" s="49"/>
      <c r="I459" s="48"/>
      <c r="K459" s="50"/>
    </row>
    <row r="460">
      <c r="A460" s="47"/>
      <c r="E460" s="47"/>
      <c r="F460" s="48"/>
      <c r="H460" s="49"/>
      <c r="I460" s="48"/>
      <c r="K460" s="50"/>
    </row>
    <row r="461">
      <c r="A461" s="47"/>
      <c r="E461" s="47"/>
      <c r="F461" s="48"/>
      <c r="H461" s="49"/>
      <c r="I461" s="48"/>
      <c r="K461" s="50"/>
    </row>
    <row r="462">
      <c r="A462" s="47"/>
      <c r="E462" s="47"/>
      <c r="F462" s="48"/>
      <c r="H462" s="49"/>
      <c r="I462" s="48"/>
      <c r="K462" s="50"/>
    </row>
    <row r="463">
      <c r="A463" s="47"/>
      <c r="E463" s="47"/>
      <c r="F463" s="48"/>
      <c r="H463" s="49"/>
      <c r="I463" s="48"/>
      <c r="K463" s="50"/>
    </row>
    <row r="464">
      <c r="A464" s="47"/>
      <c r="E464" s="47"/>
      <c r="F464" s="48"/>
      <c r="H464" s="49"/>
      <c r="I464" s="48"/>
      <c r="K464" s="50"/>
    </row>
    <row r="465">
      <c r="A465" s="47"/>
      <c r="E465" s="47"/>
      <c r="F465" s="48"/>
      <c r="H465" s="49"/>
      <c r="I465" s="48"/>
      <c r="K465" s="50"/>
    </row>
    <row r="466">
      <c r="A466" s="47"/>
      <c r="E466" s="47"/>
      <c r="F466" s="48"/>
      <c r="H466" s="49"/>
      <c r="I466" s="48"/>
      <c r="K466" s="50"/>
    </row>
    <row r="467">
      <c r="A467" s="47"/>
      <c r="E467" s="47"/>
      <c r="F467" s="48"/>
      <c r="H467" s="49"/>
      <c r="I467" s="48"/>
      <c r="K467" s="50"/>
    </row>
    <row r="468">
      <c r="A468" s="47"/>
      <c r="E468" s="47"/>
      <c r="F468" s="48"/>
      <c r="H468" s="49"/>
      <c r="I468" s="48"/>
      <c r="K468" s="50"/>
    </row>
    <row r="469">
      <c r="A469" s="47"/>
      <c r="E469" s="47"/>
      <c r="F469" s="48"/>
      <c r="H469" s="49"/>
      <c r="I469" s="48"/>
      <c r="K469" s="50"/>
    </row>
    <row r="470">
      <c r="A470" s="47"/>
      <c r="E470" s="47"/>
      <c r="F470" s="48"/>
      <c r="H470" s="49"/>
      <c r="I470" s="48"/>
      <c r="K470" s="50"/>
    </row>
    <row r="471">
      <c r="A471" s="47"/>
      <c r="E471" s="47"/>
      <c r="F471" s="48"/>
      <c r="H471" s="49"/>
      <c r="I471" s="48"/>
      <c r="K471" s="50"/>
    </row>
    <row r="472">
      <c r="A472" s="47"/>
      <c r="E472" s="47"/>
      <c r="F472" s="48"/>
      <c r="H472" s="49"/>
      <c r="I472" s="48"/>
      <c r="K472" s="50"/>
    </row>
    <row r="473">
      <c r="A473" s="47"/>
      <c r="E473" s="47"/>
      <c r="F473" s="48"/>
      <c r="H473" s="49"/>
      <c r="I473" s="48"/>
      <c r="K473" s="50"/>
    </row>
    <row r="474">
      <c r="A474" s="47"/>
      <c r="E474" s="47"/>
      <c r="F474" s="48"/>
      <c r="H474" s="49"/>
      <c r="I474" s="48"/>
      <c r="K474" s="50"/>
    </row>
    <row r="475">
      <c r="A475" s="47"/>
      <c r="E475" s="47"/>
      <c r="F475" s="48"/>
      <c r="H475" s="49"/>
      <c r="I475" s="48"/>
      <c r="K475" s="50"/>
    </row>
    <row r="476">
      <c r="A476" s="47"/>
      <c r="E476" s="47"/>
      <c r="F476" s="48"/>
      <c r="H476" s="49"/>
      <c r="I476" s="48"/>
      <c r="K476" s="50"/>
    </row>
    <row r="477">
      <c r="A477" s="47"/>
      <c r="E477" s="47"/>
      <c r="F477" s="48"/>
      <c r="H477" s="49"/>
      <c r="I477" s="48"/>
      <c r="K477" s="50"/>
    </row>
    <row r="478">
      <c r="A478" s="47"/>
      <c r="E478" s="47"/>
      <c r="F478" s="48"/>
      <c r="H478" s="49"/>
      <c r="I478" s="48"/>
      <c r="K478" s="50"/>
    </row>
    <row r="479">
      <c r="A479" s="47"/>
      <c r="E479" s="47"/>
      <c r="F479" s="48"/>
      <c r="H479" s="49"/>
      <c r="I479" s="48"/>
      <c r="K479" s="50"/>
    </row>
    <row r="480">
      <c r="A480" s="47"/>
      <c r="E480" s="47"/>
      <c r="F480" s="48"/>
      <c r="H480" s="49"/>
      <c r="I480" s="48"/>
      <c r="K480" s="50"/>
    </row>
    <row r="481">
      <c r="A481" s="47"/>
      <c r="E481" s="47"/>
      <c r="F481" s="48"/>
      <c r="H481" s="49"/>
      <c r="I481" s="48"/>
      <c r="K481" s="50"/>
    </row>
    <row r="482">
      <c r="A482" s="47"/>
      <c r="E482" s="47"/>
      <c r="F482" s="48"/>
      <c r="H482" s="49"/>
      <c r="I482" s="48"/>
      <c r="K482" s="50"/>
    </row>
    <row r="483">
      <c r="A483" s="47"/>
      <c r="E483" s="47"/>
      <c r="F483" s="48"/>
      <c r="H483" s="49"/>
      <c r="I483" s="48"/>
      <c r="K483" s="50"/>
    </row>
    <row r="484">
      <c r="A484" s="47"/>
      <c r="E484" s="47"/>
      <c r="F484" s="48"/>
      <c r="H484" s="49"/>
      <c r="I484" s="48"/>
      <c r="K484" s="50"/>
    </row>
    <row r="485">
      <c r="A485" s="47"/>
      <c r="E485" s="47"/>
      <c r="F485" s="48"/>
      <c r="H485" s="49"/>
      <c r="I485" s="48"/>
      <c r="K485" s="50"/>
    </row>
    <row r="486">
      <c r="A486" s="47"/>
      <c r="E486" s="47"/>
      <c r="F486" s="48"/>
      <c r="H486" s="49"/>
      <c r="I486" s="48"/>
      <c r="K486" s="50"/>
    </row>
    <row r="487">
      <c r="A487" s="47"/>
      <c r="E487" s="47"/>
      <c r="F487" s="48"/>
      <c r="H487" s="49"/>
      <c r="I487" s="48"/>
      <c r="K487" s="50"/>
    </row>
    <row r="488">
      <c r="A488" s="47"/>
      <c r="E488" s="47"/>
      <c r="F488" s="48"/>
      <c r="H488" s="49"/>
      <c r="I488" s="48"/>
      <c r="K488" s="50"/>
    </row>
    <row r="489">
      <c r="A489" s="47"/>
      <c r="E489" s="47"/>
      <c r="F489" s="48"/>
      <c r="H489" s="49"/>
      <c r="I489" s="48"/>
      <c r="K489" s="50"/>
    </row>
    <row r="490">
      <c r="A490" s="47"/>
      <c r="E490" s="47"/>
      <c r="F490" s="48"/>
      <c r="H490" s="49"/>
      <c r="I490" s="48"/>
      <c r="K490" s="50"/>
    </row>
    <row r="491">
      <c r="A491" s="47"/>
      <c r="E491" s="47"/>
      <c r="F491" s="48"/>
      <c r="H491" s="49"/>
      <c r="I491" s="48"/>
      <c r="K491" s="50"/>
    </row>
    <row r="492">
      <c r="A492" s="47"/>
      <c r="E492" s="47"/>
      <c r="F492" s="48"/>
      <c r="H492" s="49"/>
      <c r="I492" s="48"/>
      <c r="K492" s="50"/>
    </row>
    <row r="493">
      <c r="A493" s="47"/>
      <c r="E493" s="47"/>
      <c r="F493" s="48"/>
      <c r="H493" s="49"/>
      <c r="I493" s="48"/>
      <c r="K493" s="50"/>
    </row>
    <row r="494">
      <c r="A494" s="47"/>
      <c r="E494" s="47"/>
      <c r="F494" s="48"/>
      <c r="H494" s="49"/>
      <c r="I494" s="48"/>
      <c r="K494" s="50"/>
    </row>
    <row r="495">
      <c r="A495" s="47"/>
      <c r="E495" s="47"/>
      <c r="F495" s="48"/>
      <c r="H495" s="49"/>
      <c r="I495" s="48"/>
      <c r="K495" s="50"/>
    </row>
    <row r="496">
      <c r="A496" s="47"/>
      <c r="E496" s="47"/>
      <c r="F496" s="48"/>
      <c r="H496" s="49"/>
      <c r="I496" s="48"/>
      <c r="K496" s="50"/>
    </row>
    <row r="497">
      <c r="A497" s="47"/>
      <c r="E497" s="47"/>
      <c r="F497" s="48"/>
      <c r="H497" s="49"/>
      <c r="I497" s="48"/>
      <c r="K497" s="50"/>
    </row>
    <row r="498">
      <c r="A498" s="47"/>
      <c r="E498" s="47"/>
      <c r="F498" s="48"/>
      <c r="H498" s="49"/>
      <c r="I498" s="48"/>
      <c r="K498" s="50"/>
    </row>
    <row r="499">
      <c r="A499" s="47"/>
      <c r="E499" s="47"/>
      <c r="F499" s="48"/>
      <c r="H499" s="49"/>
      <c r="I499" s="48"/>
      <c r="K499" s="50"/>
    </row>
    <row r="500">
      <c r="A500" s="47"/>
      <c r="E500" s="47"/>
      <c r="F500" s="48"/>
      <c r="H500" s="49"/>
      <c r="I500" s="48"/>
      <c r="K500" s="50"/>
    </row>
    <row r="501">
      <c r="A501" s="47"/>
      <c r="E501" s="47"/>
      <c r="F501" s="48"/>
      <c r="H501" s="49"/>
      <c r="I501" s="48"/>
      <c r="K501" s="50"/>
    </row>
    <row r="502">
      <c r="A502" s="47"/>
      <c r="E502" s="47"/>
      <c r="F502" s="48"/>
      <c r="H502" s="49"/>
      <c r="I502" s="48"/>
      <c r="K502" s="50"/>
    </row>
    <row r="503">
      <c r="A503" s="47"/>
      <c r="E503" s="47"/>
      <c r="F503" s="48"/>
      <c r="H503" s="49"/>
      <c r="I503" s="48"/>
      <c r="K503" s="50"/>
    </row>
    <row r="504">
      <c r="A504" s="47"/>
      <c r="E504" s="47"/>
      <c r="F504" s="48"/>
      <c r="H504" s="49"/>
      <c r="I504" s="48"/>
      <c r="K504" s="50"/>
    </row>
    <row r="505">
      <c r="A505" s="47"/>
      <c r="E505" s="47"/>
      <c r="F505" s="48"/>
      <c r="H505" s="49"/>
      <c r="I505" s="48"/>
      <c r="K505" s="50"/>
    </row>
    <row r="506">
      <c r="A506" s="47"/>
      <c r="E506" s="47"/>
      <c r="F506" s="48"/>
      <c r="H506" s="49"/>
      <c r="I506" s="48"/>
      <c r="K506" s="50"/>
    </row>
    <row r="507">
      <c r="A507" s="47"/>
      <c r="E507" s="47"/>
      <c r="F507" s="48"/>
      <c r="H507" s="49"/>
      <c r="I507" s="48"/>
      <c r="K507" s="50"/>
    </row>
    <row r="508">
      <c r="A508" s="47"/>
      <c r="E508" s="47"/>
      <c r="F508" s="48"/>
      <c r="H508" s="49"/>
      <c r="I508" s="48"/>
      <c r="K508" s="50"/>
    </row>
    <row r="509">
      <c r="A509" s="47"/>
      <c r="E509" s="47"/>
      <c r="F509" s="48"/>
      <c r="H509" s="49"/>
      <c r="I509" s="48"/>
      <c r="K509" s="50"/>
    </row>
    <row r="510">
      <c r="A510" s="47"/>
      <c r="E510" s="47"/>
      <c r="F510" s="48"/>
      <c r="H510" s="49"/>
      <c r="I510" s="48"/>
      <c r="K510" s="50"/>
    </row>
    <row r="511">
      <c r="A511" s="47"/>
      <c r="E511" s="47"/>
      <c r="F511" s="48"/>
      <c r="H511" s="49"/>
      <c r="I511" s="48"/>
      <c r="K511" s="50"/>
    </row>
    <row r="512">
      <c r="A512" s="47"/>
      <c r="E512" s="47"/>
      <c r="F512" s="48"/>
      <c r="H512" s="49"/>
      <c r="I512" s="48"/>
      <c r="K512" s="50"/>
    </row>
    <row r="513">
      <c r="A513" s="47"/>
      <c r="E513" s="47"/>
      <c r="F513" s="48"/>
      <c r="H513" s="49"/>
      <c r="I513" s="48"/>
      <c r="K513" s="50"/>
    </row>
    <row r="514">
      <c r="A514" s="47"/>
      <c r="E514" s="47"/>
      <c r="F514" s="48"/>
      <c r="H514" s="49"/>
      <c r="I514" s="48"/>
      <c r="K514" s="50"/>
    </row>
    <row r="515">
      <c r="A515" s="47"/>
      <c r="E515" s="47"/>
      <c r="F515" s="48"/>
      <c r="H515" s="49"/>
      <c r="I515" s="48"/>
      <c r="K515" s="50"/>
    </row>
    <row r="516">
      <c r="A516" s="47"/>
      <c r="E516" s="47"/>
      <c r="F516" s="48"/>
      <c r="H516" s="49"/>
      <c r="I516" s="48"/>
      <c r="K516" s="50"/>
    </row>
    <row r="517">
      <c r="A517" s="47"/>
      <c r="E517" s="47"/>
      <c r="F517" s="48"/>
      <c r="H517" s="49"/>
      <c r="I517" s="48"/>
      <c r="K517" s="50"/>
    </row>
    <row r="518">
      <c r="A518" s="47"/>
      <c r="E518" s="47"/>
      <c r="F518" s="48"/>
      <c r="H518" s="49"/>
      <c r="I518" s="48"/>
      <c r="K518" s="50"/>
    </row>
    <row r="519">
      <c r="A519" s="47"/>
      <c r="E519" s="47"/>
      <c r="F519" s="48"/>
      <c r="H519" s="49"/>
      <c r="I519" s="48"/>
      <c r="K519" s="50"/>
    </row>
    <row r="520">
      <c r="A520" s="47"/>
      <c r="E520" s="47"/>
      <c r="F520" s="48"/>
      <c r="H520" s="49"/>
      <c r="I520" s="48"/>
      <c r="K520" s="50"/>
    </row>
    <row r="521">
      <c r="A521" s="47"/>
      <c r="E521" s="47"/>
      <c r="F521" s="48"/>
      <c r="H521" s="49"/>
      <c r="I521" s="48"/>
      <c r="K521" s="50"/>
    </row>
    <row r="522">
      <c r="A522" s="47"/>
      <c r="E522" s="47"/>
      <c r="F522" s="48"/>
      <c r="H522" s="49"/>
      <c r="I522" s="48"/>
      <c r="K522" s="50"/>
    </row>
    <row r="523">
      <c r="A523" s="47"/>
      <c r="E523" s="47"/>
      <c r="F523" s="48"/>
      <c r="H523" s="49"/>
      <c r="I523" s="48"/>
      <c r="K523" s="50"/>
    </row>
    <row r="524">
      <c r="A524" s="47"/>
      <c r="E524" s="47"/>
      <c r="F524" s="48"/>
      <c r="H524" s="49"/>
      <c r="I524" s="48"/>
      <c r="K524" s="50"/>
    </row>
    <row r="525">
      <c r="A525" s="47"/>
      <c r="E525" s="47"/>
      <c r="F525" s="48"/>
      <c r="H525" s="49"/>
      <c r="I525" s="48"/>
      <c r="K525" s="50"/>
    </row>
    <row r="526">
      <c r="A526" s="47"/>
      <c r="E526" s="47"/>
      <c r="F526" s="48"/>
      <c r="H526" s="49"/>
      <c r="I526" s="48"/>
      <c r="K526" s="50"/>
    </row>
    <row r="527">
      <c r="A527" s="47"/>
      <c r="E527" s="47"/>
      <c r="F527" s="48"/>
      <c r="H527" s="49"/>
      <c r="I527" s="48"/>
      <c r="K527" s="50"/>
    </row>
    <row r="528">
      <c r="A528" s="47"/>
      <c r="E528" s="47"/>
      <c r="F528" s="48"/>
      <c r="H528" s="49"/>
      <c r="I528" s="48"/>
      <c r="K528" s="50"/>
    </row>
    <row r="529">
      <c r="A529" s="47"/>
      <c r="E529" s="47"/>
      <c r="F529" s="48"/>
      <c r="H529" s="49"/>
      <c r="I529" s="48"/>
      <c r="K529" s="50"/>
    </row>
    <row r="530">
      <c r="A530" s="47"/>
      <c r="E530" s="47"/>
      <c r="F530" s="48"/>
      <c r="H530" s="49"/>
      <c r="I530" s="48"/>
      <c r="K530" s="50"/>
    </row>
    <row r="531">
      <c r="A531" s="47"/>
      <c r="E531" s="47"/>
      <c r="F531" s="48"/>
      <c r="H531" s="49"/>
      <c r="I531" s="48"/>
      <c r="K531" s="50"/>
    </row>
    <row r="532">
      <c r="A532" s="47"/>
      <c r="E532" s="47"/>
      <c r="F532" s="48"/>
      <c r="H532" s="49"/>
      <c r="I532" s="48"/>
      <c r="K532" s="50"/>
    </row>
    <row r="533">
      <c r="A533" s="47"/>
      <c r="E533" s="47"/>
      <c r="F533" s="48"/>
      <c r="H533" s="49"/>
      <c r="I533" s="48"/>
      <c r="K533" s="50"/>
    </row>
    <row r="534">
      <c r="A534" s="47"/>
      <c r="E534" s="47"/>
      <c r="F534" s="48"/>
      <c r="H534" s="49"/>
      <c r="I534" s="48"/>
      <c r="K534" s="50"/>
    </row>
    <row r="535">
      <c r="A535" s="47"/>
      <c r="E535" s="47"/>
      <c r="F535" s="48"/>
      <c r="H535" s="49"/>
      <c r="I535" s="48"/>
      <c r="K535" s="50"/>
    </row>
    <row r="536">
      <c r="A536" s="47"/>
      <c r="E536" s="47"/>
      <c r="F536" s="48"/>
      <c r="H536" s="49"/>
      <c r="I536" s="48"/>
      <c r="K536" s="50"/>
    </row>
    <row r="537">
      <c r="A537" s="47"/>
      <c r="E537" s="47"/>
      <c r="F537" s="48"/>
      <c r="H537" s="49"/>
      <c r="I537" s="48"/>
      <c r="K537" s="50"/>
    </row>
    <row r="538">
      <c r="A538" s="47"/>
      <c r="E538" s="47"/>
      <c r="F538" s="48"/>
      <c r="H538" s="49"/>
      <c r="I538" s="48"/>
      <c r="K538" s="50"/>
    </row>
    <row r="539">
      <c r="A539" s="47"/>
      <c r="E539" s="47"/>
      <c r="F539" s="48"/>
      <c r="H539" s="49"/>
      <c r="I539" s="48"/>
      <c r="K539" s="50"/>
    </row>
    <row r="540">
      <c r="A540" s="47"/>
      <c r="E540" s="47"/>
      <c r="F540" s="48"/>
      <c r="H540" s="49"/>
      <c r="I540" s="48"/>
      <c r="K540" s="50"/>
    </row>
    <row r="541">
      <c r="A541" s="47"/>
      <c r="E541" s="47"/>
      <c r="F541" s="48"/>
      <c r="H541" s="49"/>
      <c r="I541" s="48"/>
      <c r="K541" s="50"/>
    </row>
    <row r="542">
      <c r="A542" s="47"/>
      <c r="E542" s="47"/>
      <c r="F542" s="48"/>
      <c r="H542" s="49"/>
      <c r="I542" s="48"/>
      <c r="K542" s="50"/>
    </row>
    <row r="543">
      <c r="A543" s="47"/>
      <c r="E543" s="47"/>
      <c r="F543" s="48"/>
      <c r="H543" s="49"/>
      <c r="I543" s="48"/>
      <c r="K543" s="50"/>
    </row>
    <row r="544">
      <c r="A544" s="47"/>
      <c r="E544" s="47"/>
      <c r="F544" s="48"/>
      <c r="H544" s="49"/>
      <c r="I544" s="48"/>
      <c r="K544" s="50"/>
    </row>
    <row r="545">
      <c r="A545" s="47"/>
      <c r="E545" s="47"/>
      <c r="F545" s="48"/>
      <c r="H545" s="49"/>
      <c r="I545" s="48"/>
      <c r="K545" s="50"/>
    </row>
    <row r="546">
      <c r="A546" s="47"/>
      <c r="E546" s="47"/>
      <c r="F546" s="48"/>
      <c r="H546" s="49"/>
      <c r="I546" s="48"/>
      <c r="K546" s="50"/>
    </row>
    <row r="547">
      <c r="A547" s="47"/>
      <c r="E547" s="47"/>
      <c r="F547" s="48"/>
      <c r="H547" s="49"/>
      <c r="I547" s="48"/>
      <c r="K547" s="50"/>
    </row>
    <row r="548">
      <c r="A548" s="47"/>
      <c r="E548" s="47"/>
      <c r="F548" s="48"/>
      <c r="H548" s="49"/>
      <c r="I548" s="48"/>
      <c r="K548" s="50"/>
    </row>
    <row r="549">
      <c r="A549" s="47"/>
      <c r="E549" s="47"/>
      <c r="F549" s="48"/>
      <c r="H549" s="49"/>
      <c r="I549" s="48"/>
      <c r="K549" s="50"/>
    </row>
    <row r="550">
      <c r="A550" s="47"/>
      <c r="E550" s="47"/>
      <c r="F550" s="48"/>
      <c r="H550" s="49"/>
      <c r="I550" s="48"/>
      <c r="K550" s="50"/>
    </row>
    <row r="551">
      <c r="A551" s="47"/>
      <c r="E551" s="47"/>
      <c r="F551" s="48"/>
      <c r="H551" s="49"/>
      <c r="I551" s="48"/>
      <c r="K551" s="50"/>
    </row>
    <row r="552">
      <c r="A552" s="47"/>
      <c r="E552" s="47"/>
      <c r="F552" s="48"/>
      <c r="H552" s="49"/>
      <c r="I552" s="48"/>
      <c r="K552" s="50"/>
    </row>
    <row r="553">
      <c r="A553" s="47"/>
      <c r="E553" s="47"/>
      <c r="F553" s="48"/>
      <c r="H553" s="49"/>
      <c r="I553" s="48"/>
      <c r="K553" s="50"/>
    </row>
    <row r="554">
      <c r="A554" s="47"/>
      <c r="E554" s="47"/>
      <c r="F554" s="48"/>
      <c r="H554" s="49"/>
      <c r="I554" s="48"/>
      <c r="K554" s="50"/>
    </row>
    <row r="555">
      <c r="A555" s="47"/>
      <c r="E555" s="47"/>
      <c r="F555" s="48"/>
      <c r="H555" s="49"/>
      <c r="I555" s="48"/>
      <c r="K555" s="50"/>
    </row>
    <row r="556">
      <c r="A556" s="47"/>
      <c r="E556" s="47"/>
      <c r="F556" s="48"/>
      <c r="H556" s="49"/>
      <c r="I556" s="48"/>
      <c r="K556" s="50"/>
    </row>
    <row r="557">
      <c r="A557" s="47"/>
      <c r="E557" s="47"/>
      <c r="F557" s="48"/>
      <c r="H557" s="49"/>
      <c r="I557" s="48"/>
      <c r="K557" s="50"/>
    </row>
    <row r="558">
      <c r="A558" s="47"/>
      <c r="E558" s="47"/>
      <c r="F558" s="48"/>
      <c r="H558" s="49"/>
      <c r="I558" s="48"/>
      <c r="K558" s="50"/>
    </row>
    <row r="559">
      <c r="A559" s="47"/>
      <c r="E559" s="47"/>
      <c r="F559" s="48"/>
      <c r="H559" s="49"/>
      <c r="I559" s="48"/>
      <c r="K559" s="50"/>
    </row>
    <row r="560">
      <c r="A560" s="47"/>
      <c r="E560" s="47"/>
      <c r="F560" s="48"/>
      <c r="H560" s="49"/>
      <c r="I560" s="48"/>
      <c r="K560" s="50"/>
    </row>
    <row r="561">
      <c r="A561" s="47"/>
      <c r="E561" s="47"/>
      <c r="F561" s="48"/>
      <c r="H561" s="49"/>
      <c r="I561" s="48"/>
      <c r="K561" s="50"/>
    </row>
    <row r="562">
      <c r="A562" s="47"/>
      <c r="E562" s="47"/>
      <c r="F562" s="48"/>
      <c r="H562" s="49"/>
      <c r="I562" s="48"/>
      <c r="K562" s="50"/>
    </row>
    <row r="563">
      <c r="A563" s="47"/>
      <c r="E563" s="47"/>
      <c r="F563" s="48"/>
      <c r="H563" s="49"/>
      <c r="I563" s="48"/>
      <c r="K563" s="50"/>
    </row>
    <row r="564">
      <c r="A564" s="47"/>
      <c r="E564" s="47"/>
      <c r="F564" s="48"/>
      <c r="H564" s="49"/>
      <c r="I564" s="48"/>
      <c r="K564" s="50"/>
    </row>
    <row r="565">
      <c r="A565" s="47"/>
      <c r="E565" s="47"/>
      <c r="F565" s="48"/>
      <c r="H565" s="49"/>
      <c r="I565" s="48"/>
      <c r="K565" s="50"/>
    </row>
    <row r="566">
      <c r="A566" s="47"/>
      <c r="E566" s="47"/>
      <c r="F566" s="48"/>
      <c r="H566" s="49"/>
      <c r="I566" s="48"/>
      <c r="K566" s="50"/>
    </row>
    <row r="567">
      <c r="A567" s="47"/>
      <c r="E567" s="47"/>
      <c r="F567" s="48"/>
      <c r="H567" s="49"/>
      <c r="I567" s="48"/>
      <c r="K567" s="50"/>
    </row>
    <row r="568">
      <c r="A568" s="47"/>
      <c r="E568" s="47"/>
      <c r="F568" s="48"/>
      <c r="H568" s="49"/>
      <c r="I568" s="48"/>
      <c r="K568" s="50"/>
    </row>
    <row r="569">
      <c r="A569" s="47"/>
      <c r="E569" s="47"/>
      <c r="F569" s="48"/>
      <c r="H569" s="49"/>
      <c r="I569" s="48"/>
      <c r="K569" s="50"/>
    </row>
    <row r="570">
      <c r="A570" s="47"/>
      <c r="E570" s="47"/>
      <c r="F570" s="48"/>
      <c r="H570" s="49"/>
      <c r="I570" s="48"/>
      <c r="K570" s="50"/>
    </row>
    <row r="571">
      <c r="A571" s="47"/>
      <c r="E571" s="47"/>
      <c r="F571" s="48"/>
      <c r="H571" s="49"/>
      <c r="I571" s="48"/>
      <c r="K571" s="50"/>
    </row>
    <row r="572">
      <c r="A572" s="47"/>
      <c r="E572" s="47"/>
      <c r="F572" s="48"/>
      <c r="H572" s="49"/>
      <c r="I572" s="48"/>
      <c r="K572" s="50"/>
    </row>
    <row r="573">
      <c r="A573" s="47"/>
      <c r="E573" s="47"/>
      <c r="F573" s="48"/>
      <c r="H573" s="49"/>
      <c r="I573" s="48"/>
      <c r="K573" s="50"/>
    </row>
    <row r="574">
      <c r="A574" s="47"/>
      <c r="E574" s="47"/>
      <c r="F574" s="48"/>
      <c r="H574" s="49"/>
      <c r="I574" s="48"/>
      <c r="K574" s="50"/>
    </row>
    <row r="575">
      <c r="A575" s="47"/>
      <c r="E575" s="47"/>
      <c r="F575" s="48"/>
      <c r="H575" s="49"/>
      <c r="I575" s="48"/>
      <c r="K575" s="50"/>
    </row>
    <row r="576">
      <c r="A576" s="47"/>
      <c r="E576" s="47"/>
      <c r="F576" s="48"/>
      <c r="H576" s="49"/>
      <c r="I576" s="48"/>
      <c r="K576" s="50"/>
    </row>
    <row r="577">
      <c r="A577" s="47"/>
      <c r="E577" s="47"/>
      <c r="F577" s="48"/>
      <c r="H577" s="49"/>
      <c r="I577" s="48"/>
      <c r="K577" s="50"/>
    </row>
    <row r="578">
      <c r="A578" s="47"/>
      <c r="E578" s="47"/>
      <c r="F578" s="48"/>
      <c r="H578" s="49"/>
      <c r="I578" s="48"/>
      <c r="K578" s="50"/>
    </row>
    <row r="579">
      <c r="A579" s="47"/>
      <c r="E579" s="47"/>
      <c r="F579" s="48"/>
      <c r="H579" s="49"/>
      <c r="I579" s="48"/>
      <c r="K579" s="50"/>
    </row>
    <row r="580">
      <c r="A580" s="47"/>
      <c r="E580" s="47"/>
      <c r="F580" s="48"/>
      <c r="H580" s="49"/>
      <c r="I580" s="48"/>
      <c r="K580" s="50"/>
    </row>
    <row r="581">
      <c r="A581" s="47"/>
      <c r="E581" s="47"/>
      <c r="F581" s="48"/>
      <c r="H581" s="49"/>
      <c r="I581" s="48"/>
      <c r="K581" s="50"/>
    </row>
    <row r="582">
      <c r="A582" s="47"/>
      <c r="E582" s="47"/>
      <c r="F582" s="48"/>
      <c r="H582" s="49"/>
      <c r="I582" s="48"/>
      <c r="K582" s="50"/>
    </row>
    <row r="583">
      <c r="A583" s="47"/>
      <c r="E583" s="47"/>
      <c r="F583" s="48"/>
      <c r="H583" s="49"/>
      <c r="I583" s="48"/>
      <c r="K583" s="50"/>
    </row>
    <row r="584">
      <c r="A584" s="47"/>
      <c r="E584" s="47"/>
      <c r="F584" s="48"/>
      <c r="H584" s="49"/>
      <c r="I584" s="48"/>
      <c r="K584" s="50"/>
    </row>
    <row r="585">
      <c r="A585" s="47"/>
      <c r="E585" s="47"/>
      <c r="F585" s="48"/>
      <c r="H585" s="49"/>
      <c r="I585" s="48"/>
      <c r="K585" s="50"/>
    </row>
    <row r="586">
      <c r="A586" s="47"/>
      <c r="E586" s="47"/>
      <c r="F586" s="48"/>
      <c r="H586" s="49"/>
      <c r="I586" s="48"/>
      <c r="K586" s="50"/>
    </row>
    <row r="587">
      <c r="A587" s="47"/>
      <c r="E587" s="47"/>
      <c r="F587" s="48"/>
      <c r="H587" s="49"/>
      <c r="I587" s="48"/>
      <c r="K587" s="50"/>
    </row>
    <row r="588">
      <c r="A588" s="47"/>
      <c r="E588" s="47"/>
      <c r="F588" s="48"/>
      <c r="H588" s="49"/>
      <c r="I588" s="48"/>
      <c r="K588" s="50"/>
    </row>
    <row r="589">
      <c r="A589" s="47"/>
      <c r="E589" s="47"/>
      <c r="F589" s="48"/>
      <c r="H589" s="49"/>
      <c r="I589" s="48"/>
      <c r="K589" s="50"/>
    </row>
    <row r="590">
      <c r="A590" s="47"/>
      <c r="E590" s="47"/>
      <c r="F590" s="48"/>
      <c r="H590" s="49"/>
      <c r="I590" s="48"/>
      <c r="K590" s="50"/>
    </row>
    <row r="591">
      <c r="A591" s="47"/>
      <c r="E591" s="47"/>
      <c r="F591" s="48"/>
      <c r="H591" s="49"/>
      <c r="I591" s="48"/>
      <c r="K591" s="50"/>
    </row>
    <row r="592">
      <c r="A592" s="47"/>
      <c r="E592" s="47"/>
      <c r="F592" s="48"/>
      <c r="H592" s="49"/>
      <c r="I592" s="48"/>
      <c r="K592" s="50"/>
    </row>
    <row r="593">
      <c r="A593" s="47"/>
      <c r="E593" s="47"/>
      <c r="F593" s="48"/>
      <c r="H593" s="49"/>
      <c r="I593" s="48"/>
      <c r="K593" s="50"/>
    </row>
    <row r="594">
      <c r="A594" s="47"/>
      <c r="E594" s="47"/>
      <c r="F594" s="48"/>
      <c r="H594" s="49"/>
      <c r="I594" s="48"/>
      <c r="K594" s="50"/>
    </row>
    <row r="595">
      <c r="A595" s="47"/>
      <c r="E595" s="47"/>
      <c r="F595" s="48"/>
      <c r="H595" s="49"/>
      <c r="I595" s="48"/>
      <c r="K595" s="50"/>
    </row>
    <row r="596">
      <c r="A596" s="47"/>
      <c r="E596" s="47"/>
      <c r="F596" s="48"/>
      <c r="H596" s="49"/>
      <c r="I596" s="48"/>
      <c r="K596" s="50"/>
    </row>
    <row r="597">
      <c r="A597" s="47"/>
      <c r="E597" s="47"/>
      <c r="F597" s="48"/>
      <c r="H597" s="49"/>
      <c r="I597" s="48"/>
      <c r="K597" s="50"/>
    </row>
    <row r="598">
      <c r="A598" s="47"/>
      <c r="E598" s="47"/>
      <c r="F598" s="48"/>
      <c r="H598" s="49"/>
      <c r="I598" s="48"/>
      <c r="K598" s="50"/>
    </row>
    <row r="599">
      <c r="A599" s="47"/>
      <c r="E599" s="47"/>
      <c r="F599" s="48"/>
      <c r="H599" s="49"/>
      <c r="I599" s="48"/>
      <c r="K599" s="50"/>
    </row>
    <row r="600">
      <c r="A600" s="47"/>
      <c r="E600" s="47"/>
      <c r="F600" s="48"/>
      <c r="H600" s="49"/>
      <c r="I600" s="48"/>
      <c r="K600" s="50"/>
    </row>
    <row r="601">
      <c r="A601" s="47"/>
      <c r="E601" s="47"/>
      <c r="F601" s="48"/>
      <c r="H601" s="49"/>
      <c r="I601" s="48"/>
      <c r="K601" s="50"/>
    </row>
    <row r="602">
      <c r="A602" s="47"/>
      <c r="E602" s="47"/>
      <c r="F602" s="48"/>
      <c r="H602" s="49"/>
      <c r="I602" s="48"/>
      <c r="K602" s="50"/>
    </row>
    <row r="603">
      <c r="A603" s="47"/>
      <c r="E603" s="47"/>
      <c r="F603" s="48"/>
      <c r="H603" s="49"/>
      <c r="I603" s="48"/>
      <c r="K603" s="50"/>
    </row>
    <row r="604">
      <c r="A604" s="47"/>
      <c r="E604" s="47"/>
      <c r="F604" s="48"/>
      <c r="H604" s="49"/>
      <c r="I604" s="48"/>
      <c r="K604" s="50"/>
    </row>
    <row r="605">
      <c r="A605" s="47"/>
      <c r="E605" s="47"/>
      <c r="F605" s="48"/>
      <c r="H605" s="49"/>
      <c r="I605" s="48"/>
      <c r="K605" s="50"/>
    </row>
    <row r="606">
      <c r="A606" s="47"/>
      <c r="E606" s="47"/>
      <c r="F606" s="48"/>
      <c r="H606" s="49"/>
      <c r="I606" s="48"/>
      <c r="K606" s="50"/>
    </row>
    <row r="607">
      <c r="A607" s="47"/>
      <c r="E607" s="47"/>
      <c r="F607" s="48"/>
      <c r="H607" s="49"/>
      <c r="I607" s="48"/>
      <c r="K607" s="50"/>
    </row>
    <row r="608">
      <c r="A608" s="47"/>
      <c r="E608" s="47"/>
      <c r="F608" s="48"/>
      <c r="H608" s="49"/>
      <c r="I608" s="48"/>
      <c r="K608" s="50"/>
    </row>
    <row r="609">
      <c r="A609" s="47"/>
      <c r="E609" s="47"/>
      <c r="F609" s="48"/>
      <c r="H609" s="49"/>
      <c r="I609" s="48"/>
      <c r="K609" s="50"/>
    </row>
    <row r="610">
      <c r="A610" s="47"/>
      <c r="E610" s="47"/>
      <c r="F610" s="48"/>
      <c r="H610" s="49"/>
      <c r="I610" s="48"/>
      <c r="K610" s="50"/>
    </row>
    <row r="611">
      <c r="A611" s="47"/>
      <c r="E611" s="47"/>
      <c r="F611" s="48"/>
      <c r="H611" s="49"/>
      <c r="I611" s="48"/>
      <c r="K611" s="50"/>
    </row>
    <row r="612">
      <c r="A612" s="47"/>
      <c r="E612" s="47"/>
      <c r="F612" s="48"/>
      <c r="H612" s="49"/>
      <c r="I612" s="48"/>
      <c r="K612" s="50"/>
    </row>
    <row r="613">
      <c r="A613" s="47"/>
      <c r="E613" s="47"/>
      <c r="F613" s="48"/>
      <c r="H613" s="49"/>
      <c r="I613" s="48"/>
      <c r="K613" s="50"/>
    </row>
    <row r="614">
      <c r="A614" s="47"/>
      <c r="E614" s="47"/>
      <c r="F614" s="48"/>
      <c r="H614" s="49"/>
      <c r="I614" s="48"/>
      <c r="K614" s="50"/>
    </row>
    <row r="615">
      <c r="A615" s="47"/>
      <c r="E615" s="47"/>
      <c r="F615" s="48"/>
      <c r="H615" s="49"/>
      <c r="I615" s="48"/>
      <c r="K615" s="50"/>
    </row>
    <row r="616">
      <c r="A616" s="47"/>
      <c r="E616" s="47"/>
      <c r="F616" s="48"/>
      <c r="H616" s="49"/>
      <c r="I616" s="48"/>
      <c r="K616" s="50"/>
    </row>
    <row r="617">
      <c r="A617" s="47"/>
      <c r="E617" s="47"/>
      <c r="F617" s="48"/>
      <c r="H617" s="49"/>
      <c r="I617" s="48"/>
      <c r="K617" s="50"/>
    </row>
    <row r="618">
      <c r="A618" s="47"/>
      <c r="E618" s="47"/>
      <c r="F618" s="48"/>
      <c r="H618" s="49"/>
      <c r="I618" s="48"/>
      <c r="K618" s="50"/>
    </row>
    <row r="619">
      <c r="A619" s="47"/>
      <c r="E619" s="47"/>
      <c r="F619" s="48"/>
      <c r="H619" s="49"/>
      <c r="I619" s="48"/>
      <c r="K619" s="50"/>
    </row>
    <row r="620">
      <c r="A620" s="47"/>
      <c r="E620" s="47"/>
      <c r="F620" s="48"/>
      <c r="H620" s="49"/>
      <c r="I620" s="48"/>
      <c r="K620" s="50"/>
    </row>
    <row r="621">
      <c r="A621" s="47"/>
      <c r="E621" s="47"/>
      <c r="F621" s="48"/>
      <c r="H621" s="49"/>
      <c r="I621" s="48"/>
      <c r="K621" s="50"/>
    </row>
    <row r="622">
      <c r="A622" s="47"/>
      <c r="E622" s="47"/>
      <c r="F622" s="48"/>
      <c r="H622" s="49"/>
      <c r="I622" s="48"/>
      <c r="K622" s="50"/>
    </row>
    <row r="623">
      <c r="A623" s="47"/>
      <c r="E623" s="47"/>
      <c r="F623" s="48"/>
      <c r="H623" s="49"/>
      <c r="I623" s="48"/>
      <c r="K623" s="50"/>
    </row>
    <row r="624">
      <c r="A624" s="47"/>
      <c r="E624" s="47"/>
      <c r="F624" s="48"/>
      <c r="H624" s="49"/>
      <c r="I624" s="48"/>
      <c r="K624" s="50"/>
    </row>
    <row r="625">
      <c r="A625" s="47"/>
      <c r="E625" s="47"/>
      <c r="F625" s="48"/>
      <c r="H625" s="49"/>
      <c r="I625" s="48"/>
      <c r="K625" s="50"/>
    </row>
    <row r="626">
      <c r="A626" s="47"/>
      <c r="E626" s="47"/>
      <c r="F626" s="48"/>
      <c r="H626" s="49"/>
      <c r="I626" s="48"/>
      <c r="K626" s="50"/>
    </row>
    <row r="627">
      <c r="A627" s="47"/>
      <c r="E627" s="47"/>
      <c r="F627" s="48"/>
      <c r="H627" s="49"/>
      <c r="I627" s="48"/>
      <c r="K627" s="50"/>
    </row>
    <row r="628">
      <c r="A628" s="47"/>
      <c r="E628" s="47"/>
      <c r="F628" s="48"/>
      <c r="H628" s="49"/>
      <c r="I628" s="48"/>
      <c r="K628" s="50"/>
    </row>
    <row r="629">
      <c r="A629" s="47"/>
      <c r="E629" s="47"/>
      <c r="F629" s="48"/>
      <c r="H629" s="49"/>
      <c r="I629" s="48"/>
      <c r="K629" s="50"/>
    </row>
    <row r="630">
      <c r="A630" s="47"/>
      <c r="E630" s="47"/>
      <c r="F630" s="48"/>
      <c r="H630" s="49"/>
      <c r="I630" s="48"/>
      <c r="K630" s="50"/>
    </row>
    <row r="631">
      <c r="A631" s="47"/>
      <c r="E631" s="47"/>
      <c r="F631" s="48"/>
      <c r="H631" s="49"/>
      <c r="I631" s="48"/>
      <c r="K631" s="50"/>
    </row>
    <row r="632">
      <c r="A632" s="47"/>
      <c r="E632" s="47"/>
      <c r="F632" s="48"/>
      <c r="H632" s="49"/>
      <c r="I632" s="48"/>
      <c r="K632" s="50"/>
    </row>
    <row r="633">
      <c r="A633" s="47"/>
      <c r="E633" s="47"/>
      <c r="F633" s="48"/>
      <c r="H633" s="49"/>
      <c r="I633" s="48"/>
      <c r="K633" s="50"/>
    </row>
    <row r="634">
      <c r="A634" s="47"/>
      <c r="E634" s="47"/>
      <c r="F634" s="48"/>
      <c r="H634" s="49"/>
      <c r="I634" s="48"/>
      <c r="K634" s="50"/>
    </row>
    <row r="635">
      <c r="A635" s="47"/>
      <c r="E635" s="47"/>
      <c r="F635" s="48"/>
      <c r="H635" s="49"/>
      <c r="I635" s="48"/>
      <c r="K635" s="50"/>
    </row>
    <row r="636">
      <c r="A636" s="47"/>
      <c r="E636" s="47"/>
      <c r="F636" s="48"/>
      <c r="H636" s="49"/>
      <c r="I636" s="48"/>
      <c r="K636" s="50"/>
    </row>
    <row r="637">
      <c r="A637" s="47"/>
      <c r="E637" s="47"/>
      <c r="F637" s="48"/>
      <c r="H637" s="49"/>
      <c r="I637" s="48"/>
      <c r="K637" s="50"/>
    </row>
    <row r="638">
      <c r="A638" s="47"/>
      <c r="E638" s="47"/>
      <c r="F638" s="48"/>
      <c r="H638" s="49"/>
      <c r="I638" s="48"/>
      <c r="K638" s="50"/>
    </row>
    <row r="639">
      <c r="A639" s="47"/>
      <c r="E639" s="47"/>
      <c r="F639" s="48"/>
      <c r="H639" s="49"/>
      <c r="I639" s="48"/>
      <c r="K639" s="50"/>
    </row>
    <row r="640">
      <c r="A640" s="47"/>
      <c r="E640" s="47"/>
      <c r="F640" s="48"/>
      <c r="H640" s="49"/>
      <c r="I640" s="48"/>
      <c r="K640" s="50"/>
    </row>
    <row r="641">
      <c r="A641" s="47"/>
      <c r="E641" s="47"/>
      <c r="F641" s="48"/>
      <c r="H641" s="49"/>
      <c r="I641" s="48"/>
      <c r="K641" s="50"/>
    </row>
    <row r="642">
      <c r="A642" s="47"/>
      <c r="E642" s="47"/>
      <c r="F642" s="48"/>
      <c r="H642" s="49"/>
      <c r="I642" s="48"/>
      <c r="K642" s="50"/>
    </row>
    <row r="643">
      <c r="A643" s="47"/>
      <c r="E643" s="47"/>
      <c r="F643" s="48"/>
      <c r="H643" s="49"/>
      <c r="I643" s="48"/>
      <c r="K643" s="50"/>
    </row>
    <row r="644">
      <c r="A644" s="47"/>
      <c r="E644" s="47"/>
      <c r="F644" s="48"/>
      <c r="H644" s="49"/>
      <c r="I644" s="48"/>
      <c r="K644" s="50"/>
    </row>
    <row r="645">
      <c r="A645" s="47"/>
      <c r="E645" s="47"/>
      <c r="F645" s="48"/>
      <c r="H645" s="49"/>
      <c r="I645" s="48"/>
      <c r="K645" s="50"/>
    </row>
    <row r="646">
      <c r="A646" s="47"/>
      <c r="E646" s="47"/>
      <c r="F646" s="48"/>
      <c r="H646" s="49"/>
      <c r="I646" s="48"/>
      <c r="K646" s="50"/>
    </row>
    <row r="647">
      <c r="A647" s="47"/>
      <c r="E647" s="47"/>
      <c r="F647" s="48"/>
      <c r="H647" s="49"/>
      <c r="I647" s="48"/>
      <c r="K647" s="50"/>
    </row>
    <row r="648">
      <c r="A648" s="47"/>
      <c r="E648" s="47"/>
      <c r="F648" s="48"/>
      <c r="H648" s="49"/>
      <c r="I648" s="48"/>
      <c r="K648" s="50"/>
    </row>
    <row r="649">
      <c r="A649" s="47"/>
      <c r="E649" s="47"/>
      <c r="F649" s="48"/>
      <c r="H649" s="49"/>
      <c r="I649" s="48"/>
      <c r="K649" s="50"/>
    </row>
    <row r="650">
      <c r="A650" s="47"/>
      <c r="E650" s="47"/>
      <c r="F650" s="48"/>
      <c r="H650" s="49"/>
      <c r="I650" s="48"/>
      <c r="K650" s="50"/>
    </row>
    <row r="651">
      <c r="A651" s="47"/>
      <c r="E651" s="47"/>
      <c r="F651" s="48"/>
      <c r="H651" s="49"/>
      <c r="I651" s="48"/>
      <c r="K651" s="50"/>
    </row>
    <row r="652">
      <c r="A652" s="47"/>
      <c r="E652" s="47"/>
      <c r="F652" s="48"/>
      <c r="H652" s="49"/>
      <c r="I652" s="48"/>
      <c r="K652" s="50"/>
    </row>
    <row r="653">
      <c r="A653" s="47"/>
      <c r="E653" s="47"/>
      <c r="F653" s="48"/>
      <c r="H653" s="49"/>
      <c r="I653" s="48"/>
      <c r="K653" s="50"/>
    </row>
    <row r="654">
      <c r="A654" s="47"/>
      <c r="E654" s="47"/>
      <c r="F654" s="48"/>
      <c r="H654" s="49"/>
      <c r="I654" s="48"/>
      <c r="K654" s="50"/>
    </row>
    <row r="655">
      <c r="A655" s="47"/>
      <c r="E655" s="47"/>
      <c r="F655" s="48"/>
      <c r="H655" s="49"/>
      <c r="I655" s="48"/>
      <c r="K655" s="50"/>
    </row>
    <row r="656">
      <c r="A656" s="47"/>
      <c r="E656" s="47"/>
      <c r="F656" s="48"/>
      <c r="H656" s="49"/>
      <c r="I656" s="48"/>
      <c r="K656" s="50"/>
    </row>
    <row r="657">
      <c r="A657" s="47"/>
      <c r="E657" s="47"/>
      <c r="F657" s="48"/>
      <c r="H657" s="49"/>
      <c r="I657" s="48"/>
      <c r="K657" s="50"/>
    </row>
    <row r="658">
      <c r="A658" s="47"/>
      <c r="E658" s="47"/>
      <c r="F658" s="48"/>
      <c r="H658" s="49"/>
      <c r="I658" s="48"/>
      <c r="K658" s="50"/>
    </row>
    <row r="659">
      <c r="A659" s="47"/>
      <c r="E659" s="47"/>
      <c r="F659" s="48"/>
      <c r="H659" s="49"/>
      <c r="I659" s="48"/>
      <c r="K659" s="50"/>
    </row>
    <row r="660">
      <c r="A660" s="47"/>
      <c r="E660" s="47"/>
      <c r="F660" s="48"/>
      <c r="H660" s="49"/>
      <c r="I660" s="48"/>
      <c r="K660" s="50"/>
    </row>
    <row r="661">
      <c r="A661" s="47"/>
      <c r="E661" s="47"/>
      <c r="F661" s="48"/>
      <c r="H661" s="49"/>
      <c r="I661" s="48"/>
      <c r="K661" s="50"/>
    </row>
    <row r="662">
      <c r="A662" s="47"/>
      <c r="E662" s="47"/>
      <c r="F662" s="48"/>
      <c r="H662" s="49"/>
      <c r="I662" s="48"/>
      <c r="K662" s="50"/>
    </row>
    <row r="663">
      <c r="A663" s="47"/>
      <c r="E663" s="47"/>
      <c r="F663" s="48"/>
      <c r="H663" s="49"/>
      <c r="I663" s="48"/>
      <c r="K663" s="50"/>
    </row>
    <row r="664">
      <c r="A664" s="47"/>
      <c r="E664" s="47"/>
      <c r="F664" s="48"/>
      <c r="H664" s="49"/>
      <c r="I664" s="48"/>
      <c r="K664" s="50"/>
    </row>
    <row r="665">
      <c r="A665" s="47"/>
      <c r="E665" s="47"/>
      <c r="F665" s="48"/>
      <c r="H665" s="49"/>
      <c r="I665" s="48"/>
      <c r="K665" s="50"/>
    </row>
    <row r="666">
      <c r="A666" s="47"/>
      <c r="E666" s="47"/>
      <c r="F666" s="48"/>
      <c r="H666" s="49"/>
      <c r="I666" s="48"/>
      <c r="K666" s="50"/>
    </row>
    <row r="667">
      <c r="A667" s="47"/>
      <c r="E667" s="47"/>
      <c r="F667" s="48"/>
      <c r="H667" s="49"/>
      <c r="I667" s="48"/>
      <c r="K667" s="50"/>
    </row>
    <row r="668">
      <c r="A668" s="47"/>
      <c r="E668" s="47"/>
      <c r="F668" s="48"/>
      <c r="H668" s="49"/>
      <c r="I668" s="48"/>
      <c r="K668" s="50"/>
    </row>
    <row r="669">
      <c r="A669" s="47"/>
      <c r="E669" s="47"/>
      <c r="F669" s="48"/>
      <c r="H669" s="49"/>
      <c r="I669" s="48"/>
      <c r="K669" s="50"/>
    </row>
    <row r="670">
      <c r="A670" s="47"/>
      <c r="E670" s="47"/>
      <c r="F670" s="48"/>
      <c r="H670" s="49"/>
      <c r="I670" s="48"/>
      <c r="K670" s="50"/>
    </row>
    <row r="671">
      <c r="A671" s="47"/>
      <c r="E671" s="47"/>
      <c r="F671" s="48"/>
      <c r="H671" s="49"/>
      <c r="I671" s="48"/>
      <c r="K671" s="50"/>
    </row>
    <row r="672">
      <c r="A672" s="47"/>
      <c r="E672" s="47"/>
      <c r="F672" s="48"/>
      <c r="H672" s="49"/>
      <c r="I672" s="48"/>
      <c r="K672" s="50"/>
    </row>
    <row r="673">
      <c r="A673" s="47"/>
      <c r="E673" s="47"/>
      <c r="F673" s="48"/>
      <c r="H673" s="49"/>
      <c r="I673" s="48"/>
      <c r="K673" s="50"/>
    </row>
    <row r="674">
      <c r="A674" s="47"/>
      <c r="E674" s="47"/>
      <c r="F674" s="48"/>
      <c r="H674" s="49"/>
      <c r="I674" s="48"/>
      <c r="K674" s="50"/>
    </row>
    <row r="675">
      <c r="A675" s="47"/>
      <c r="E675" s="47"/>
      <c r="F675" s="48"/>
      <c r="H675" s="49"/>
      <c r="I675" s="48"/>
      <c r="K675" s="50"/>
    </row>
    <row r="676">
      <c r="A676" s="47"/>
      <c r="E676" s="47"/>
      <c r="F676" s="48"/>
      <c r="H676" s="49"/>
      <c r="I676" s="48"/>
      <c r="K676" s="50"/>
    </row>
    <row r="677">
      <c r="A677" s="47"/>
      <c r="E677" s="47"/>
      <c r="F677" s="48"/>
      <c r="H677" s="49"/>
      <c r="I677" s="48"/>
      <c r="K677" s="50"/>
    </row>
    <row r="678">
      <c r="A678" s="47"/>
      <c r="E678" s="47"/>
      <c r="F678" s="48"/>
      <c r="H678" s="49"/>
      <c r="I678" s="48"/>
      <c r="K678" s="50"/>
    </row>
    <row r="679">
      <c r="A679" s="47"/>
      <c r="E679" s="47"/>
      <c r="F679" s="48"/>
      <c r="H679" s="49"/>
      <c r="I679" s="48"/>
      <c r="K679" s="50"/>
    </row>
    <row r="680">
      <c r="A680" s="47"/>
      <c r="E680" s="47"/>
      <c r="F680" s="48"/>
      <c r="H680" s="49"/>
      <c r="I680" s="48"/>
      <c r="K680" s="50"/>
    </row>
    <row r="681">
      <c r="A681" s="47"/>
      <c r="E681" s="47"/>
      <c r="F681" s="48"/>
      <c r="H681" s="49"/>
      <c r="I681" s="48"/>
      <c r="K681" s="50"/>
    </row>
    <row r="682">
      <c r="A682" s="47"/>
      <c r="E682" s="47"/>
      <c r="F682" s="48"/>
      <c r="H682" s="49"/>
      <c r="I682" s="48"/>
      <c r="K682" s="50"/>
    </row>
    <row r="683">
      <c r="A683" s="47"/>
      <c r="E683" s="47"/>
      <c r="F683" s="48"/>
      <c r="H683" s="49"/>
      <c r="I683" s="48"/>
      <c r="K683" s="50"/>
    </row>
    <row r="684">
      <c r="A684" s="47"/>
      <c r="E684" s="47"/>
      <c r="F684" s="48"/>
      <c r="H684" s="49"/>
      <c r="I684" s="48"/>
      <c r="K684" s="50"/>
    </row>
    <row r="685">
      <c r="A685" s="47"/>
      <c r="E685" s="47"/>
      <c r="F685" s="48"/>
      <c r="H685" s="49"/>
      <c r="I685" s="48"/>
      <c r="K685" s="50"/>
    </row>
    <row r="686">
      <c r="A686" s="47"/>
      <c r="E686" s="47"/>
      <c r="F686" s="48"/>
      <c r="H686" s="49"/>
      <c r="I686" s="48"/>
      <c r="K686" s="50"/>
    </row>
    <row r="687">
      <c r="A687" s="47"/>
      <c r="E687" s="47"/>
      <c r="F687" s="48"/>
      <c r="H687" s="49"/>
      <c r="I687" s="48"/>
      <c r="K687" s="50"/>
    </row>
    <row r="688">
      <c r="A688" s="47"/>
      <c r="E688" s="47"/>
      <c r="F688" s="48"/>
      <c r="H688" s="49"/>
      <c r="I688" s="48"/>
      <c r="K688" s="50"/>
    </row>
    <row r="689">
      <c r="A689" s="47"/>
      <c r="E689" s="47"/>
      <c r="F689" s="48"/>
      <c r="H689" s="49"/>
      <c r="I689" s="48"/>
      <c r="K689" s="50"/>
    </row>
    <row r="690">
      <c r="A690" s="47"/>
      <c r="E690" s="47"/>
      <c r="F690" s="48"/>
      <c r="H690" s="49"/>
      <c r="I690" s="48"/>
      <c r="K690" s="50"/>
    </row>
    <row r="691">
      <c r="A691" s="47"/>
      <c r="E691" s="47"/>
      <c r="F691" s="48"/>
      <c r="H691" s="49"/>
      <c r="I691" s="48"/>
      <c r="K691" s="50"/>
    </row>
    <row r="692">
      <c r="A692" s="47"/>
      <c r="E692" s="47"/>
      <c r="F692" s="48"/>
      <c r="H692" s="49"/>
      <c r="I692" s="48"/>
      <c r="K692" s="50"/>
    </row>
    <row r="693">
      <c r="A693" s="47"/>
      <c r="E693" s="47"/>
      <c r="F693" s="48"/>
      <c r="H693" s="49"/>
      <c r="I693" s="48"/>
      <c r="K693" s="50"/>
    </row>
    <row r="694">
      <c r="A694" s="47"/>
      <c r="E694" s="47"/>
      <c r="F694" s="48"/>
      <c r="H694" s="49"/>
      <c r="I694" s="48"/>
      <c r="K694" s="50"/>
    </row>
    <row r="695">
      <c r="A695" s="47"/>
      <c r="E695" s="47"/>
      <c r="F695" s="48"/>
      <c r="H695" s="49"/>
      <c r="I695" s="48"/>
      <c r="K695" s="50"/>
    </row>
    <row r="696">
      <c r="A696" s="47"/>
      <c r="E696" s="47"/>
      <c r="F696" s="48"/>
      <c r="H696" s="49"/>
      <c r="I696" s="48"/>
      <c r="K696" s="50"/>
    </row>
    <row r="697">
      <c r="A697" s="47"/>
      <c r="E697" s="47"/>
      <c r="F697" s="48"/>
      <c r="H697" s="49"/>
      <c r="I697" s="48"/>
      <c r="K697" s="50"/>
    </row>
    <row r="698">
      <c r="A698" s="47"/>
      <c r="E698" s="47"/>
      <c r="F698" s="48"/>
      <c r="H698" s="49"/>
      <c r="I698" s="48"/>
      <c r="K698" s="50"/>
    </row>
    <row r="699">
      <c r="A699" s="47"/>
      <c r="E699" s="47"/>
      <c r="F699" s="48"/>
      <c r="H699" s="49"/>
      <c r="I699" s="48"/>
      <c r="K699" s="50"/>
    </row>
    <row r="700">
      <c r="A700" s="47"/>
      <c r="E700" s="47"/>
      <c r="F700" s="48"/>
      <c r="H700" s="49"/>
      <c r="I700" s="48"/>
      <c r="K700" s="50"/>
    </row>
    <row r="701">
      <c r="A701" s="47"/>
      <c r="E701" s="47"/>
      <c r="F701" s="48"/>
      <c r="H701" s="49"/>
      <c r="I701" s="48"/>
      <c r="K701" s="50"/>
    </row>
    <row r="702">
      <c r="A702" s="47"/>
      <c r="E702" s="47"/>
      <c r="F702" s="48"/>
      <c r="H702" s="49"/>
      <c r="I702" s="48"/>
      <c r="K702" s="50"/>
    </row>
    <row r="703">
      <c r="A703" s="47"/>
      <c r="E703" s="47"/>
      <c r="F703" s="48"/>
      <c r="H703" s="49"/>
      <c r="I703" s="48"/>
      <c r="K703" s="50"/>
    </row>
    <row r="704">
      <c r="A704" s="47"/>
      <c r="E704" s="47"/>
      <c r="F704" s="48"/>
      <c r="H704" s="49"/>
      <c r="I704" s="48"/>
      <c r="K704" s="50"/>
    </row>
    <row r="705">
      <c r="A705" s="47"/>
      <c r="E705" s="47"/>
      <c r="F705" s="48"/>
      <c r="H705" s="49"/>
      <c r="I705" s="48"/>
      <c r="K705" s="50"/>
    </row>
    <row r="706">
      <c r="A706" s="47"/>
      <c r="E706" s="47"/>
      <c r="F706" s="48"/>
      <c r="H706" s="49"/>
      <c r="I706" s="48"/>
      <c r="K706" s="50"/>
    </row>
    <row r="707">
      <c r="A707" s="47"/>
      <c r="E707" s="47"/>
      <c r="F707" s="48"/>
      <c r="H707" s="49"/>
      <c r="I707" s="48"/>
      <c r="K707" s="50"/>
    </row>
    <row r="708">
      <c r="A708" s="47"/>
      <c r="E708" s="47"/>
      <c r="F708" s="48"/>
      <c r="H708" s="49"/>
      <c r="I708" s="48"/>
      <c r="K708" s="50"/>
    </row>
    <row r="709">
      <c r="A709" s="47"/>
      <c r="E709" s="47"/>
      <c r="F709" s="48"/>
      <c r="H709" s="49"/>
      <c r="I709" s="48"/>
      <c r="K709" s="50"/>
    </row>
    <row r="710">
      <c r="A710" s="47"/>
      <c r="E710" s="47"/>
      <c r="F710" s="48"/>
      <c r="H710" s="49"/>
      <c r="I710" s="48"/>
      <c r="K710" s="50"/>
    </row>
    <row r="711">
      <c r="A711" s="47"/>
      <c r="E711" s="47"/>
      <c r="F711" s="48"/>
      <c r="H711" s="49"/>
      <c r="I711" s="48"/>
      <c r="K711" s="50"/>
    </row>
    <row r="712">
      <c r="A712" s="47"/>
      <c r="E712" s="47"/>
      <c r="F712" s="48"/>
      <c r="H712" s="49"/>
      <c r="I712" s="48"/>
      <c r="K712" s="50"/>
    </row>
    <row r="713">
      <c r="A713" s="47"/>
      <c r="E713" s="47"/>
      <c r="F713" s="48"/>
      <c r="H713" s="49"/>
      <c r="I713" s="48"/>
      <c r="K713" s="50"/>
    </row>
    <row r="714">
      <c r="A714" s="47"/>
      <c r="E714" s="47"/>
      <c r="F714" s="48"/>
      <c r="H714" s="49"/>
      <c r="I714" s="48"/>
      <c r="K714" s="50"/>
    </row>
    <row r="715">
      <c r="A715" s="47"/>
      <c r="E715" s="47"/>
      <c r="F715" s="48"/>
      <c r="H715" s="49"/>
      <c r="I715" s="48"/>
      <c r="K715" s="50"/>
    </row>
    <row r="716">
      <c r="A716" s="47"/>
      <c r="E716" s="47"/>
      <c r="F716" s="48"/>
      <c r="H716" s="49"/>
      <c r="I716" s="48"/>
      <c r="K716" s="50"/>
    </row>
    <row r="717">
      <c r="A717" s="47"/>
      <c r="E717" s="47"/>
      <c r="F717" s="48"/>
      <c r="H717" s="49"/>
      <c r="I717" s="48"/>
      <c r="K717" s="50"/>
    </row>
    <row r="718">
      <c r="A718" s="47"/>
      <c r="E718" s="47"/>
      <c r="F718" s="48"/>
      <c r="H718" s="49"/>
      <c r="I718" s="48"/>
      <c r="K718" s="50"/>
    </row>
    <row r="719">
      <c r="A719" s="47"/>
      <c r="E719" s="47"/>
      <c r="F719" s="48"/>
      <c r="H719" s="49"/>
      <c r="I719" s="48"/>
      <c r="K719" s="50"/>
    </row>
    <row r="720">
      <c r="A720" s="47"/>
      <c r="E720" s="47"/>
      <c r="F720" s="48"/>
      <c r="H720" s="49"/>
      <c r="I720" s="48"/>
      <c r="K720" s="50"/>
    </row>
    <row r="721">
      <c r="A721" s="47"/>
      <c r="E721" s="47"/>
      <c r="F721" s="48"/>
      <c r="H721" s="49"/>
      <c r="I721" s="48"/>
      <c r="K721" s="50"/>
    </row>
    <row r="722">
      <c r="A722" s="47"/>
      <c r="E722" s="47"/>
      <c r="F722" s="48"/>
      <c r="H722" s="49"/>
      <c r="I722" s="48"/>
      <c r="K722" s="50"/>
    </row>
    <row r="723">
      <c r="A723" s="47"/>
      <c r="E723" s="47"/>
      <c r="F723" s="48"/>
      <c r="H723" s="49"/>
      <c r="I723" s="48"/>
      <c r="K723" s="50"/>
    </row>
    <row r="724">
      <c r="A724" s="47"/>
      <c r="E724" s="47"/>
      <c r="F724" s="48"/>
      <c r="H724" s="49"/>
      <c r="I724" s="48"/>
      <c r="K724" s="50"/>
    </row>
    <row r="725">
      <c r="A725" s="47"/>
      <c r="E725" s="47"/>
      <c r="F725" s="48"/>
      <c r="H725" s="49"/>
      <c r="I725" s="48"/>
      <c r="K725" s="50"/>
    </row>
    <row r="726">
      <c r="A726" s="47"/>
      <c r="E726" s="47"/>
      <c r="F726" s="48"/>
      <c r="H726" s="49"/>
      <c r="I726" s="48"/>
      <c r="K726" s="50"/>
    </row>
    <row r="727">
      <c r="A727" s="47"/>
      <c r="E727" s="47"/>
      <c r="F727" s="48"/>
      <c r="H727" s="49"/>
      <c r="I727" s="48"/>
      <c r="K727" s="50"/>
    </row>
    <row r="728">
      <c r="A728" s="47"/>
      <c r="E728" s="47"/>
      <c r="F728" s="48"/>
      <c r="H728" s="49"/>
      <c r="I728" s="48"/>
      <c r="K728" s="50"/>
    </row>
    <row r="729">
      <c r="A729" s="47"/>
      <c r="E729" s="47"/>
      <c r="F729" s="48"/>
      <c r="H729" s="49"/>
      <c r="I729" s="48"/>
      <c r="K729" s="50"/>
    </row>
    <row r="730">
      <c r="A730" s="47"/>
      <c r="E730" s="47"/>
      <c r="F730" s="48"/>
      <c r="H730" s="49"/>
      <c r="I730" s="48"/>
      <c r="K730" s="50"/>
    </row>
    <row r="731">
      <c r="A731" s="47"/>
      <c r="E731" s="47"/>
      <c r="F731" s="48"/>
      <c r="H731" s="49"/>
      <c r="I731" s="48"/>
      <c r="K731" s="50"/>
    </row>
    <row r="732">
      <c r="A732" s="47"/>
      <c r="E732" s="47"/>
      <c r="F732" s="48"/>
      <c r="H732" s="49"/>
      <c r="I732" s="48"/>
      <c r="K732" s="50"/>
    </row>
    <row r="733">
      <c r="A733" s="47"/>
      <c r="E733" s="47"/>
      <c r="F733" s="48"/>
      <c r="H733" s="49"/>
      <c r="I733" s="48"/>
      <c r="K733" s="50"/>
    </row>
    <row r="734">
      <c r="A734" s="47"/>
      <c r="E734" s="47"/>
      <c r="F734" s="48"/>
      <c r="H734" s="49"/>
      <c r="I734" s="48"/>
      <c r="K734" s="50"/>
    </row>
    <row r="735">
      <c r="A735" s="47"/>
      <c r="E735" s="47"/>
      <c r="F735" s="48"/>
      <c r="H735" s="49"/>
      <c r="I735" s="48"/>
      <c r="K735" s="50"/>
    </row>
    <row r="736">
      <c r="A736" s="47"/>
      <c r="E736" s="47"/>
      <c r="F736" s="48"/>
      <c r="H736" s="49"/>
      <c r="I736" s="48"/>
      <c r="K736" s="50"/>
    </row>
    <row r="737">
      <c r="A737" s="47"/>
      <c r="E737" s="47"/>
      <c r="F737" s="48"/>
      <c r="H737" s="49"/>
      <c r="I737" s="48"/>
      <c r="K737" s="50"/>
    </row>
    <row r="738">
      <c r="A738" s="47"/>
      <c r="E738" s="47"/>
      <c r="F738" s="48"/>
      <c r="H738" s="49"/>
      <c r="I738" s="48"/>
      <c r="K738" s="50"/>
    </row>
    <row r="739">
      <c r="A739" s="47"/>
      <c r="E739" s="47"/>
      <c r="F739" s="48"/>
      <c r="H739" s="49"/>
      <c r="I739" s="48"/>
      <c r="K739" s="50"/>
    </row>
    <row r="740">
      <c r="A740" s="47"/>
      <c r="E740" s="47"/>
      <c r="F740" s="48"/>
      <c r="H740" s="49"/>
      <c r="I740" s="48"/>
      <c r="K740" s="50"/>
    </row>
    <row r="741">
      <c r="A741" s="47"/>
      <c r="E741" s="47"/>
      <c r="F741" s="48"/>
      <c r="H741" s="49"/>
      <c r="I741" s="48"/>
      <c r="K741" s="50"/>
    </row>
    <row r="742">
      <c r="A742" s="47"/>
      <c r="E742" s="47"/>
      <c r="F742" s="48"/>
      <c r="H742" s="49"/>
      <c r="I742" s="48"/>
      <c r="K742" s="50"/>
    </row>
    <row r="743">
      <c r="A743" s="47"/>
      <c r="E743" s="47"/>
      <c r="F743" s="48"/>
      <c r="H743" s="49"/>
      <c r="I743" s="48"/>
      <c r="K743" s="50"/>
    </row>
    <row r="744">
      <c r="A744" s="47"/>
      <c r="E744" s="47"/>
      <c r="F744" s="48"/>
      <c r="H744" s="49"/>
      <c r="I744" s="48"/>
      <c r="K744" s="50"/>
    </row>
    <row r="745">
      <c r="A745" s="47"/>
      <c r="E745" s="47"/>
      <c r="F745" s="48"/>
      <c r="H745" s="49"/>
      <c r="I745" s="48"/>
      <c r="K745" s="50"/>
    </row>
    <row r="746">
      <c r="A746" s="47"/>
      <c r="E746" s="47"/>
      <c r="F746" s="48"/>
      <c r="H746" s="49"/>
      <c r="I746" s="48"/>
      <c r="K746" s="50"/>
    </row>
    <row r="747">
      <c r="A747" s="47"/>
      <c r="E747" s="47"/>
      <c r="F747" s="48"/>
      <c r="H747" s="49"/>
      <c r="I747" s="48"/>
      <c r="K747" s="50"/>
    </row>
    <row r="748">
      <c r="A748" s="47"/>
      <c r="E748" s="47"/>
      <c r="F748" s="48"/>
      <c r="H748" s="49"/>
      <c r="I748" s="48"/>
      <c r="K748" s="50"/>
    </row>
    <row r="749">
      <c r="A749" s="47"/>
      <c r="E749" s="47"/>
      <c r="F749" s="48"/>
      <c r="H749" s="49"/>
      <c r="I749" s="48"/>
      <c r="K749" s="50"/>
    </row>
    <row r="750">
      <c r="A750" s="47"/>
      <c r="E750" s="47"/>
      <c r="F750" s="48"/>
      <c r="H750" s="49"/>
      <c r="I750" s="48"/>
      <c r="K750" s="50"/>
    </row>
    <row r="751">
      <c r="A751" s="47"/>
      <c r="E751" s="47"/>
      <c r="F751" s="48"/>
      <c r="H751" s="49"/>
      <c r="I751" s="48"/>
      <c r="K751" s="50"/>
    </row>
    <row r="752">
      <c r="A752" s="47"/>
      <c r="E752" s="47"/>
      <c r="F752" s="48"/>
      <c r="H752" s="49"/>
      <c r="I752" s="48"/>
      <c r="K752" s="50"/>
    </row>
    <row r="753">
      <c r="A753" s="47"/>
      <c r="E753" s="47"/>
      <c r="F753" s="48"/>
      <c r="H753" s="49"/>
      <c r="I753" s="48"/>
      <c r="K753" s="50"/>
    </row>
    <row r="754">
      <c r="A754" s="47"/>
      <c r="E754" s="47"/>
      <c r="F754" s="48"/>
      <c r="H754" s="49"/>
      <c r="I754" s="48"/>
      <c r="K754" s="50"/>
    </row>
    <row r="755">
      <c r="A755" s="47"/>
      <c r="E755" s="47"/>
      <c r="F755" s="48"/>
      <c r="H755" s="49"/>
      <c r="I755" s="48"/>
      <c r="K755" s="50"/>
    </row>
    <row r="756">
      <c r="A756" s="47"/>
      <c r="E756" s="47"/>
      <c r="F756" s="48"/>
      <c r="H756" s="49"/>
      <c r="I756" s="48"/>
      <c r="K756" s="50"/>
    </row>
    <row r="757">
      <c r="A757" s="47"/>
      <c r="E757" s="47"/>
      <c r="F757" s="48"/>
      <c r="H757" s="49"/>
      <c r="I757" s="48"/>
      <c r="K757" s="50"/>
    </row>
    <row r="758">
      <c r="A758" s="47"/>
      <c r="E758" s="47"/>
      <c r="F758" s="48"/>
      <c r="H758" s="49"/>
      <c r="I758" s="48"/>
      <c r="K758" s="50"/>
    </row>
    <row r="759">
      <c r="A759" s="47"/>
      <c r="E759" s="47"/>
      <c r="F759" s="48"/>
      <c r="H759" s="49"/>
      <c r="I759" s="48"/>
      <c r="K759" s="50"/>
    </row>
    <row r="760">
      <c r="A760" s="47"/>
      <c r="E760" s="47"/>
      <c r="F760" s="48"/>
      <c r="H760" s="49"/>
      <c r="I760" s="48"/>
      <c r="K760" s="50"/>
    </row>
    <row r="761">
      <c r="A761" s="47"/>
      <c r="E761" s="47"/>
      <c r="F761" s="48"/>
      <c r="H761" s="49"/>
      <c r="I761" s="48"/>
      <c r="K761" s="50"/>
    </row>
    <row r="762">
      <c r="A762" s="47"/>
      <c r="E762" s="47"/>
      <c r="F762" s="48"/>
      <c r="H762" s="49"/>
      <c r="I762" s="48"/>
      <c r="K762" s="50"/>
    </row>
    <row r="763">
      <c r="A763" s="47"/>
      <c r="E763" s="47"/>
      <c r="F763" s="48"/>
      <c r="H763" s="49"/>
      <c r="I763" s="48"/>
      <c r="K763" s="50"/>
    </row>
    <row r="764">
      <c r="A764" s="47"/>
      <c r="E764" s="47"/>
      <c r="F764" s="48"/>
      <c r="H764" s="49"/>
      <c r="I764" s="48"/>
      <c r="K764" s="50"/>
    </row>
    <row r="765">
      <c r="A765" s="47"/>
      <c r="E765" s="47"/>
      <c r="F765" s="48"/>
      <c r="H765" s="49"/>
      <c r="I765" s="48"/>
      <c r="K765" s="50"/>
    </row>
    <row r="766">
      <c r="A766" s="47"/>
      <c r="E766" s="47"/>
      <c r="F766" s="48"/>
      <c r="H766" s="49"/>
      <c r="I766" s="48"/>
      <c r="K766" s="50"/>
    </row>
    <row r="767">
      <c r="A767" s="47"/>
      <c r="E767" s="47"/>
      <c r="F767" s="48"/>
      <c r="H767" s="49"/>
      <c r="I767" s="48"/>
      <c r="K767" s="50"/>
    </row>
    <row r="768">
      <c r="A768" s="47"/>
      <c r="E768" s="47"/>
      <c r="F768" s="48"/>
      <c r="H768" s="49"/>
      <c r="I768" s="48"/>
      <c r="K768" s="50"/>
    </row>
    <row r="769">
      <c r="A769" s="47"/>
      <c r="E769" s="47"/>
      <c r="F769" s="48"/>
      <c r="H769" s="49"/>
      <c r="I769" s="48"/>
      <c r="K769" s="50"/>
    </row>
    <row r="770">
      <c r="A770" s="47"/>
      <c r="E770" s="47"/>
      <c r="F770" s="48"/>
      <c r="H770" s="49"/>
      <c r="I770" s="48"/>
      <c r="K770" s="50"/>
    </row>
    <row r="771">
      <c r="A771" s="47"/>
      <c r="E771" s="47"/>
      <c r="F771" s="48"/>
      <c r="H771" s="49"/>
      <c r="I771" s="48"/>
      <c r="K771" s="50"/>
    </row>
    <row r="772">
      <c r="A772" s="47"/>
      <c r="E772" s="47"/>
      <c r="F772" s="48"/>
      <c r="H772" s="49"/>
      <c r="I772" s="48"/>
      <c r="K772" s="50"/>
    </row>
    <row r="773">
      <c r="A773" s="47"/>
      <c r="E773" s="47"/>
      <c r="F773" s="48"/>
      <c r="H773" s="49"/>
      <c r="I773" s="48"/>
      <c r="K773" s="50"/>
    </row>
    <row r="774">
      <c r="A774" s="47"/>
      <c r="E774" s="47"/>
      <c r="F774" s="48"/>
      <c r="H774" s="49"/>
      <c r="I774" s="48"/>
      <c r="K774" s="50"/>
    </row>
    <row r="775">
      <c r="A775" s="47"/>
      <c r="E775" s="47"/>
      <c r="F775" s="48"/>
      <c r="H775" s="49"/>
      <c r="I775" s="48"/>
      <c r="K775" s="50"/>
    </row>
    <row r="776">
      <c r="A776" s="47"/>
      <c r="E776" s="47"/>
      <c r="F776" s="48"/>
      <c r="H776" s="49"/>
      <c r="I776" s="48"/>
      <c r="K776" s="50"/>
    </row>
    <row r="777">
      <c r="A777" s="47"/>
      <c r="E777" s="47"/>
      <c r="F777" s="48"/>
      <c r="H777" s="49"/>
      <c r="I777" s="48"/>
      <c r="K777" s="50"/>
    </row>
    <row r="778">
      <c r="A778" s="47"/>
      <c r="E778" s="47"/>
      <c r="F778" s="48"/>
      <c r="H778" s="49"/>
      <c r="I778" s="48"/>
      <c r="K778" s="50"/>
    </row>
    <row r="779">
      <c r="A779" s="47"/>
      <c r="E779" s="47"/>
      <c r="F779" s="48"/>
      <c r="H779" s="49"/>
      <c r="I779" s="48"/>
      <c r="K779" s="50"/>
    </row>
    <row r="780">
      <c r="A780" s="47"/>
      <c r="E780" s="47"/>
      <c r="F780" s="48"/>
      <c r="H780" s="49"/>
      <c r="I780" s="48"/>
      <c r="K780" s="50"/>
    </row>
    <row r="781">
      <c r="A781" s="47"/>
      <c r="E781" s="47"/>
      <c r="F781" s="48"/>
      <c r="H781" s="49"/>
      <c r="I781" s="48"/>
      <c r="K781" s="50"/>
    </row>
    <row r="782">
      <c r="A782" s="47"/>
      <c r="E782" s="47"/>
      <c r="F782" s="48"/>
      <c r="H782" s="49"/>
      <c r="I782" s="48"/>
      <c r="K782" s="50"/>
    </row>
    <row r="783">
      <c r="A783" s="47"/>
      <c r="E783" s="47"/>
      <c r="F783" s="48"/>
      <c r="H783" s="49"/>
      <c r="I783" s="48"/>
      <c r="K783" s="50"/>
    </row>
    <row r="784">
      <c r="A784" s="47"/>
      <c r="E784" s="47"/>
      <c r="F784" s="48"/>
      <c r="H784" s="49"/>
      <c r="I784" s="48"/>
      <c r="K784" s="50"/>
    </row>
    <row r="785">
      <c r="A785" s="47"/>
      <c r="E785" s="47"/>
      <c r="F785" s="48"/>
      <c r="H785" s="49"/>
      <c r="I785" s="48"/>
      <c r="K785" s="50"/>
    </row>
    <row r="786">
      <c r="A786" s="47"/>
      <c r="E786" s="47"/>
      <c r="F786" s="48"/>
      <c r="H786" s="49"/>
      <c r="I786" s="48"/>
      <c r="K786" s="50"/>
    </row>
    <row r="787">
      <c r="A787" s="47"/>
      <c r="E787" s="47"/>
      <c r="F787" s="48"/>
      <c r="H787" s="49"/>
      <c r="I787" s="48"/>
      <c r="K787" s="50"/>
    </row>
    <row r="788">
      <c r="A788" s="47"/>
      <c r="E788" s="47"/>
      <c r="F788" s="48"/>
      <c r="H788" s="49"/>
      <c r="I788" s="48"/>
      <c r="K788" s="50"/>
    </row>
    <row r="789">
      <c r="A789" s="47"/>
      <c r="E789" s="47"/>
      <c r="F789" s="48"/>
      <c r="H789" s="49"/>
      <c r="I789" s="48"/>
      <c r="K789" s="50"/>
    </row>
    <row r="790">
      <c r="A790" s="47"/>
      <c r="E790" s="47"/>
      <c r="F790" s="48"/>
      <c r="H790" s="49"/>
      <c r="I790" s="48"/>
      <c r="K790" s="50"/>
    </row>
    <row r="791">
      <c r="A791" s="47"/>
      <c r="E791" s="47"/>
      <c r="F791" s="48"/>
      <c r="H791" s="49"/>
      <c r="I791" s="48"/>
      <c r="K791" s="50"/>
    </row>
    <row r="792">
      <c r="A792" s="47"/>
      <c r="E792" s="47"/>
      <c r="F792" s="48"/>
      <c r="H792" s="49"/>
      <c r="I792" s="48"/>
      <c r="K792" s="50"/>
    </row>
    <row r="793">
      <c r="A793" s="47"/>
      <c r="E793" s="47"/>
      <c r="F793" s="48"/>
      <c r="H793" s="49"/>
      <c r="I793" s="48"/>
      <c r="K793" s="50"/>
    </row>
    <row r="794">
      <c r="A794" s="47"/>
      <c r="E794" s="47"/>
      <c r="F794" s="48"/>
      <c r="H794" s="49"/>
      <c r="I794" s="48"/>
      <c r="K794" s="50"/>
    </row>
    <row r="795">
      <c r="A795" s="47"/>
      <c r="E795" s="47"/>
      <c r="F795" s="48"/>
      <c r="H795" s="49"/>
      <c r="I795" s="48"/>
      <c r="K795" s="50"/>
    </row>
    <row r="796">
      <c r="A796" s="47"/>
      <c r="E796" s="47"/>
      <c r="F796" s="48"/>
      <c r="H796" s="49"/>
      <c r="I796" s="48"/>
      <c r="K796" s="50"/>
    </row>
    <row r="797">
      <c r="A797" s="47"/>
      <c r="E797" s="47"/>
      <c r="F797" s="48"/>
      <c r="H797" s="49"/>
      <c r="I797" s="48"/>
      <c r="K797" s="50"/>
    </row>
    <row r="798">
      <c r="A798" s="47"/>
      <c r="E798" s="47"/>
      <c r="F798" s="48"/>
      <c r="H798" s="49"/>
      <c r="I798" s="48"/>
      <c r="K798" s="50"/>
    </row>
    <row r="799">
      <c r="A799" s="47"/>
      <c r="E799" s="47"/>
      <c r="F799" s="48"/>
      <c r="H799" s="49"/>
      <c r="I799" s="48"/>
      <c r="K799" s="50"/>
    </row>
    <row r="800">
      <c r="A800" s="47"/>
      <c r="E800" s="47"/>
      <c r="F800" s="48"/>
      <c r="H800" s="49"/>
      <c r="I800" s="48"/>
      <c r="K800" s="50"/>
    </row>
    <row r="801">
      <c r="A801" s="47"/>
      <c r="E801" s="47"/>
      <c r="F801" s="48"/>
      <c r="H801" s="49"/>
      <c r="I801" s="48"/>
      <c r="K801" s="50"/>
    </row>
    <row r="802">
      <c r="A802" s="47"/>
      <c r="E802" s="47"/>
      <c r="F802" s="48"/>
      <c r="H802" s="49"/>
      <c r="I802" s="48"/>
      <c r="K802" s="50"/>
    </row>
    <row r="803">
      <c r="A803" s="47"/>
      <c r="E803" s="47"/>
      <c r="F803" s="48"/>
      <c r="H803" s="49"/>
      <c r="I803" s="48"/>
      <c r="K803" s="50"/>
    </row>
    <row r="804">
      <c r="A804" s="47"/>
      <c r="E804" s="47"/>
      <c r="F804" s="48"/>
      <c r="H804" s="49"/>
      <c r="I804" s="48"/>
      <c r="K804" s="50"/>
    </row>
    <row r="805">
      <c r="A805" s="47"/>
      <c r="E805" s="47"/>
      <c r="F805" s="48"/>
      <c r="H805" s="49"/>
      <c r="I805" s="48"/>
      <c r="K805" s="50"/>
    </row>
    <row r="806">
      <c r="A806" s="47"/>
      <c r="E806" s="47"/>
      <c r="F806" s="48"/>
      <c r="H806" s="49"/>
      <c r="I806" s="48"/>
      <c r="K806" s="50"/>
    </row>
    <row r="807">
      <c r="A807" s="47"/>
      <c r="E807" s="47"/>
      <c r="F807" s="48"/>
      <c r="H807" s="49"/>
      <c r="I807" s="48"/>
      <c r="K807" s="50"/>
    </row>
    <row r="808">
      <c r="A808" s="47"/>
      <c r="E808" s="47"/>
      <c r="F808" s="48"/>
      <c r="H808" s="49"/>
      <c r="I808" s="48"/>
      <c r="K808" s="50"/>
    </row>
    <row r="809">
      <c r="A809" s="47"/>
      <c r="E809" s="47"/>
      <c r="F809" s="48"/>
      <c r="H809" s="49"/>
      <c r="I809" s="48"/>
      <c r="K809" s="50"/>
    </row>
    <row r="810">
      <c r="A810" s="47"/>
      <c r="E810" s="47"/>
      <c r="F810" s="48"/>
      <c r="H810" s="49"/>
      <c r="I810" s="48"/>
      <c r="K810" s="50"/>
    </row>
    <row r="811">
      <c r="A811" s="47"/>
      <c r="E811" s="47"/>
      <c r="F811" s="48"/>
      <c r="H811" s="49"/>
      <c r="I811" s="48"/>
      <c r="K811" s="50"/>
    </row>
    <row r="812">
      <c r="A812" s="47"/>
      <c r="E812" s="47"/>
      <c r="F812" s="48"/>
      <c r="H812" s="49"/>
      <c r="I812" s="48"/>
      <c r="K812" s="50"/>
    </row>
    <row r="813">
      <c r="A813" s="47"/>
      <c r="E813" s="47"/>
      <c r="F813" s="48"/>
      <c r="H813" s="49"/>
      <c r="I813" s="48"/>
      <c r="K813" s="50"/>
    </row>
    <row r="814">
      <c r="A814" s="47"/>
      <c r="E814" s="47"/>
      <c r="F814" s="48"/>
      <c r="H814" s="49"/>
      <c r="I814" s="48"/>
      <c r="K814" s="50"/>
    </row>
    <row r="815">
      <c r="A815" s="47"/>
      <c r="E815" s="47"/>
      <c r="F815" s="48"/>
      <c r="H815" s="49"/>
      <c r="I815" s="48"/>
      <c r="K815" s="50"/>
    </row>
    <row r="816">
      <c r="A816" s="47"/>
      <c r="E816" s="47"/>
      <c r="F816" s="48"/>
      <c r="H816" s="49"/>
      <c r="I816" s="48"/>
      <c r="K816" s="50"/>
    </row>
    <row r="817">
      <c r="A817" s="47"/>
      <c r="E817" s="47"/>
      <c r="F817" s="48"/>
      <c r="H817" s="49"/>
      <c r="I817" s="48"/>
      <c r="K817" s="50"/>
    </row>
    <row r="818">
      <c r="A818" s="47"/>
      <c r="E818" s="47"/>
      <c r="F818" s="48"/>
      <c r="H818" s="49"/>
      <c r="I818" s="48"/>
      <c r="K818" s="50"/>
    </row>
    <row r="819">
      <c r="A819" s="47"/>
      <c r="E819" s="47"/>
      <c r="F819" s="48"/>
      <c r="H819" s="49"/>
      <c r="I819" s="48"/>
      <c r="K819" s="50"/>
    </row>
    <row r="820">
      <c r="A820" s="47"/>
      <c r="E820" s="47"/>
      <c r="F820" s="48"/>
      <c r="H820" s="49"/>
      <c r="I820" s="48"/>
      <c r="K820" s="50"/>
    </row>
    <row r="821">
      <c r="A821" s="47"/>
      <c r="E821" s="47"/>
      <c r="F821" s="48"/>
      <c r="H821" s="49"/>
      <c r="I821" s="48"/>
      <c r="K821" s="50"/>
    </row>
    <row r="822">
      <c r="A822" s="47"/>
      <c r="E822" s="47"/>
      <c r="F822" s="48"/>
      <c r="H822" s="49"/>
      <c r="I822" s="48"/>
      <c r="K822" s="50"/>
    </row>
    <row r="823">
      <c r="A823" s="47"/>
      <c r="E823" s="47"/>
      <c r="F823" s="48"/>
      <c r="H823" s="49"/>
      <c r="I823" s="48"/>
      <c r="K823" s="50"/>
    </row>
    <row r="824">
      <c r="A824" s="47"/>
      <c r="E824" s="47"/>
      <c r="F824" s="48"/>
      <c r="H824" s="49"/>
      <c r="I824" s="48"/>
      <c r="K824" s="50"/>
    </row>
    <row r="825">
      <c r="A825" s="47"/>
      <c r="E825" s="47"/>
      <c r="F825" s="48"/>
      <c r="H825" s="49"/>
      <c r="I825" s="48"/>
      <c r="K825" s="50"/>
    </row>
    <row r="826">
      <c r="A826" s="47"/>
      <c r="E826" s="47"/>
      <c r="F826" s="48"/>
      <c r="H826" s="49"/>
      <c r="I826" s="48"/>
      <c r="K826" s="50"/>
    </row>
    <row r="827">
      <c r="A827" s="47"/>
      <c r="E827" s="47"/>
      <c r="F827" s="48"/>
      <c r="H827" s="49"/>
      <c r="I827" s="48"/>
      <c r="K827" s="50"/>
    </row>
    <row r="828">
      <c r="A828" s="47"/>
      <c r="E828" s="47"/>
      <c r="F828" s="48"/>
      <c r="H828" s="49"/>
      <c r="I828" s="48"/>
      <c r="K828" s="50"/>
    </row>
    <row r="829">
      <c r="A829" s="47"/>
      <c r="E829" s="47"/>
      <c r="F829" s="48"/>
      <c r="H829" s="49"/>
      <c r="I829" s="48"/>
      <c r="K829" s="50"/>
    </row>
    <row r="830">
      <c r="A830" s="47"/>
      <c r="E830" s="47"/>
      <c r="F830" s="48"/>
      <c r="H830" s="49"/>
      <c r="I830" s="48"/>
      <c r="K830" s="50"/>
    </row>
    <row r="831">
      <c r="A831" s="47"/>
      <c r="E831" s="47"/>
      <c r="F831" s="48"/>
      <c r="H831" s="49"/>
      <c r="I831" s="48"/>
      <c r="K831" s="50"/>
    </row>
    <row r="832">
      <c r="A832" s="47"/>
      <c r="E832" s="47"/>
      <c r="F832" s="48"/>
      <c r="H832" s="49"/>
      <c r="I832" s="48"/>
      <c r="K832" s="50"/>
    </row>
    <row r="833">
      <c r="A833" s="47"/>
      <c r="E833" s="47"/>
      <c r="F833" s="48"/>
      <c r="H833" s="49"/>
      <c r="I833" s="48"/>
      <c r="K833" s="50"/>
    </row>
    <row r="834">
      <c r="A834" s="47"/>
      <c r="E834" s="47"/>
      <c r="F834" s="48"/>
      <c r="H834" s="49"/>
      <c r="I834" s="48"/>
      <c r="K834" s="50"/>
    </row>
    <row r="835">
      <c r="A835" s="47"/>
      <c r="E835" s="47"/>
      <c r="F835" s="48"/>
      <c r="H835" s="49"/>
      <c r="I835" s="48"/>
      <c r="K835" s="50"/>
    </row>
    <row r="836">
      <c r="A836" s="47"/>
      <c r="E836" s="47"/>
      <c r="F836" s="48"/>
      <c r="H836" s="49"/>
      <c r="I836" s="48"/>
      <c r="K836" s="50"/>
    </row>
    <row r="837">
      <c r="A837" s="47"/>
      <c r="E837" s="47"/>
      <c r="F837" s="48"/>
      <c r="H837" s="49"/>
      <c r="I837" s="48"/>
      <c r="K837" s="50"/>
    </row>
    <row r="838">
      <c r="A838" s="47"/>
      <c r="E838" s="47"/>
      <c r="F838" s="48"/>
      <c r="H838" s="49"/>
      <c r="I838" s="48"/>
      <c r="K838" s="50"/>
    </row>
    <row r="839">
      <c r="A839" s="47"/>
      <c r="E839" s="47"/>
      <c r="F839" s="48"/>
      <c r="H839" s="49"/>
      <c r="I839" s="48"/>
      <c r="K839" s="50"/>
    </row>
    <row r="840">
      <c r="A840" s="47"/>
      <c r="E840" s="47"/>
      <c r="F840" s="48"/>
      <c r="H840" s="49"/>
      <c r="I840" s="48"/>
      <c r="K840" s="50"/>
    </row>
    <row r="841">
      <c r="A841" s="47"/>
      <c r="E841" s="47"/>
      <c r="F841" s="48"/>
      <c r="H841" s="49"/>
      <c r="I841" s="48"/>
      <c r="K841" s="50"/>
    </row>
    <row r="842">
      <c r="A842" s="47"/>
      <c r="E842" s="47"/>
      <c r="F842" s="48"/>
      <c r="H842" s="49"/>
      <c r="I842" s="48"/>
      <c r="K842" s="50"/>
    </row>
    <row r="843">
      <c r="A843" s="47"/>
      <c r="E843" s="47"/>
      <c r="F843" s="48"/>
      <c r="H843" s="49"/>
      <c r="I843" s="48"/>
      <c r="K843" s="50"/>
    </row>
    <row r="844">
      <c r="A844" s="47"/>
      <c r="E844" s="47"/>
      <c r="F844" s="48"/>
      <c r="H844" s="49"/>
      <c r="I844" s="48"/>
      <c r="K844" s="50"/>
    </row>
    <row r="845">
      <c r="A845" s="47"/>
      <c r="E845" s="47"/>
      <c r="F845" s="48"/>
      <c r="H845" s="49"/>
      <c r="I845" s="48"/>
      <c r="K845" s="50"/>
    </row>
    <row r="846">
      <c r="A846" s="47"/>
      <c r="E846" s="47"/>
      <c r="F846" s="48"/>
      <c r="H846" s="49"/>
      <c r="I846" s="48"/>
      <c r="K846" s="50"/>
    </row>
    <row r="847">
      <c r="A847" s="47"/>
      <c r="E847" s="47"/>
      <c r="F847" s="48"/>
      <c r="H847" s="49"/>
      <c r="I847" s="48"/>
      <c r="K847" s="50"/>
    </row>
    <row r="848">
      <c r="A848" s="47"/>
      <c r="E848" s="47"/>
      <c r="F848" s="48"/>
      <c r="H848" s="49"/>
      <c r="I848" s="48"/>
      <c r="K848" s="50"/>
    </row>
    <row r="849">
      <c r="A849" s="47"/>
      <c r="E849" s="47"/>
      <c r="F849" s="48"/>
      <c r="H849" s="49"/>
      <c r="I849" s="48"/>
      <c r="K849" s="50"/>
    </row>
    <row r="850">
      <c r="A850" s="47"/>
      <c r="E850" s="47"/>
      <c r="F850" s="48"/>
      <c r="H850" s="49"/>
      <c r="I850" s="48"/>
      <c r="K850" s="50"/>
    </row>
    <row r="851">
      <c r="A851" s="47"/>
      <c r="E851" s="47"/>
      <c r="F851" s="48"/>
      <c r="H851" s="49"/>
      <c r="I851" s="48"/>
      <c r="K851" s="50"/>
    </row>
    <row r="852">
      <c r="A852" s="47"/>
      <c r="E852" s="47"/>
      <c r="F852" s="48"/>
      <c r="H852" s="49"/>
      <c r="I852" s="48"/>
      <c r="K852" s="50"/>
    </row>
    <row r="853">
      <c r="A853" s="47"/>
      <c r="E853" s="47"/>
      <c r="F853" s="48"/>
      <c r="H853" s="49"/>
      <c r="I853" s="48"/>
      <c r="K853" s="50"/>
    </row>
    <row r="854">
      <c r="A854" s="47"/>
      <c r="E854" s="47"/>
      <c r="F854" s="48"/>
      <c r="H854" s="49"/>
      <c r="I854" s="48"/>
      <c r="K854" s="50"/>
    </row>
    <row r="855">
      <c r="A855" s="47"/>
      <c r="E855" s="47"/>
      <c r="F855" s="48"/>
      <c r="H855" s="49"/>
      <c r="I855" s="48"/>
      <c r="K855" s="50"/>
    </row>
    <row r="856">
      <c r="A856" s="47"/>
      <c r="E856" s="47"/>
      <c r="F856" s="48"/>
      <c r="H856" s="49"/>
      <c r="I856" s="48"/>
      <c r="K856" s="50"/>
    </row>
    <row r="857">
      <c r="A857" s="47"/>
      <c r="E857" s="47"/>
      <c r="F857" s="48"/>
      <c r="H857" s="49"/>
      <c r="I857" s="48"/>
      <c r="K857" s="50"/>
    </row>
    <row r="858">
      <c r="A858" s="47"/>
      <c r="E858" s="47"/>
      <c r="F858" s="48"/>
      <c r="H858" s="49"/>
      <c r="I858" s="48"/>
      <c r="K858" s="50"/>
    </row>
    <row r="859">
      <c r="A859" s="47"/>
      <c r="E859" s="47"/>
      <c r="F859" s="48"/>
      <c r="H859" s="49"/>
      <c r="I859" s="48"/>
      <c r="K859" s="50"/>
    </row>
    <row r="860">
      <c r="A860" s="47"/>
      <c r="E860" s="47"/>
      <c r="F860" s="48"/>
      <c r="H860" s="49"/>
      <c r="I860" s="48"/>
      <c r="K860" s="50"/>
    </row>
    <row r="861">
      <c r="A861" s="47"/>
      <c r="E861" s="47"/>
      <c r="F861" s="48"/>
      <c r="H861" s="49"/>
      <c r="I861" s="48"/>
      <c r="K861" s="50"/>
    </row>
    <row r="862">
      <c r="A862" s="47"/>
      <c r="E862" s="47"/>
      <c r="F862" s="48"/>
      <c r="H862" s="49"/>
      <c r="I862" s="48"/>
      <c r="K862" s="50"/>
    </row>
    <row r="863">
      <c r="A863" s="47"/>
      <c r="E863" s="47"/>
      <c r="F863" s="48"/>
      <c r="H863" s="49"/>
      <c r="I863" s="48"/>
      <c r="K863" s="50"/>
    </row>
    <row r="864">
      <c r="A864" s="47"/>
      <c r="E864" s="47"/>
      <c r="F864" s="48"/>
      <c r="H864" s="49"/>
      <c r="I864" s="48"/>
      <c r="K864" s="50"/>
    </row>
    <row r="865">
      <c r="A865" s="47"/>
      <c r="E865" s="47"/>
      <c r="F865" s="48"/>
      <c r="H865" s="49"/>
      <c r="I865" s="48"/>
      <c r="K865" s="50"/>
    </row>
    <row r="866">
      <c r="A866" s="47"/>
      <c r="E866" s="47"/>
      <c r="F866" s="48"/>
      <c r="H866" s="49"/>
      <c r="I866" s="48"/>
      <c r="K866" s="50"/>
    </row>
    <row r="867">
      <c r="A867" s="47"/>
      <c r="E867" s="47"/>
      <c r="F867" s="48"/>
      <c r="H867" s="49"/>
      <c r="I867" s="48"/>
      <c r="K867" s="50"/>
    </row>
    <row r="868">
      <c r="A868" s="47"/>
      <c r="E868" s="47"/>
      <c r="F868" s="48"/>
      <c r="H868" s="49"/>
      <c r="I868" s="48"/>
      <c r="K868" s="50"/>
    </row>
    <row r="869">
      <c r="A869" s="47"/>
      <c r="E869" s="47"/>
      <c r="F869" s="48"/>
      <c r="H869" s="49"/>
      <c r="I869" s="48"/>
      <c r="K869" s="50"/>
    </row>
    <row r="870">
      <c r="A870" s="47"/>
      <c r="E870" s="47"/>
      <c r="F870" s="48"/>
      <c r="H870" s="49"/>
      <c r="I870" s="48"/>
      <c r="K870" s="50"/>
    </row>
    <row r="871">
      <c r="A871" s="47"/>
      <c r="E871" s="47"/>
      <c r="F871" s="48"/>
      <c r="H871" s="49"/>
      <c r="I871" s="48"/>
      <c r="K871" s="50"/>
    </row>
    <row r="872">
      <c r="A872" s="47"/>
      <c r="E872" s="47"/>
      <c r="F872" s="48"/>
      <c r="H872" s="49"/>
      <c r="I872" s="48"/>
      <c r="K872" s="50"/>
    </row>
    <row r="873">
      <c r="A873" s="47"/>
      <c r="E873" s="47"/>
      <c r="F873" s="48"/>
      <c r="H873" s="49"/>
      <c r="I873" s="48"/>
      <c r="K873" s="50"/>
    </row>
    <row r="874">
      <c r="A874" s="47"/>
      <c r="E874" s="47"/>
      <c r="F874" s="48"/>
      <c r="H874" s="49"/>
      <c r="I874" s="48"/>
      <c r="K874" s="50"/>
    </row>
    <row r="875">
      <c r="A875" s="47"/>
      <c r="E875" s="47"/>
      <c r="F875" s="48"/>
      <c r="H875" s="49"/>
      <c r="I875" s="48"/>
      <c r="K875" s="50"/>
    </row>
    <row r="876">
      <c r="A876" s="47"/>
      <c r="E876" s="47"/>
      <c r="F876" s="48"/>
      <c r="H876" s="49"/>
      <c r="I876" s="48"/>
      <c r="K876" s="50"/>
    </row>
    <row r="877">
      <c r="A877" s="47"/>
      <c r="E877" s="47"/>
      <c r="F877" s="48"/>
      <c r="H877" s="49"/>
      <c r="I877" s="48"/>
      <c r="K877" s="50"/>
    </row>
    <row r="878">
      <c r="A878" s="47"/>
      <c r="E878" s="47"/>
      <c r="F878" s="48"/>
      <c r="H878" s="49"/>
      <c r="I878" s="48"/>
      <c r="K878" s="50"/>
    </row>
    <row r="879">
      <c r="A879" s="47"/>
      <c r="E879" s="47"/>
      <c r="F879" s="48"/>
      <c r="H879" s="49"/>
      <c r="I879" s="48"/>
      <c r="K879" s="50"/>
    </row>
    <row r="880">
      <c r="A880" s="47"/>
      <c r="E880" s="47"/>
      <c r="F880" s="48"/>
      <c r="H880" s="49"/>
      <c r="I880" s="48"/>
      <c r="K880" s="50"/>
    </row>
    <row r="881">
      <c r="A881" s="47"/>
      <c r="E881" s="47"/>
      <c r="F881" s="48"/>
      <c r="H881" s="49"/>
      <c r="I881" s="48"/>
      <c r="K881" s="50"/>
    </row>
    <row r="882">
      <c r="A882" s="47"/>
      <c r="E882" s="47"/>
      <c r="F882" s="48"/>
      <c r="H882" s="49"/>
      <c r="I882" s="48"/>
      <c r="K882" s="50"/>
    </row>
    <row r="883">
      <c r="A883" s="47"/>
      <c r="E883" s="47"/>
      <c r="F883" s="48"/>
      <c r="H883" s="49"/>
      <c r="I883" s="48"/>
      <c r="K883" s="50"/>
    </row>
    <row r="884">
      <c r="A884" s="47"/>
      <c r="E884" s="47"/>
      <c r="F884" s="48"/>
      <c r="H884" s="49"/>
      <c r="I884" s="48"/>
      <c r="K884" s="50"/>
    </row>
    <row r="885">
      <c r="A885" s="47"/>
      <c r="E885" s="47"/>
      <c r="F885" s="48"/>
      <c r="H885" s="49"/>
      <c r="I885" s="48"/>
      <c r="K885" s="50"/>
    </row>
    <row r="886">
      <c r="A886" s="47"/>
      <c r="E886" s="47"/>
      <c r="F886" s="48"/>
      <c r="H886" s="49"/>
      <c r="I886" s="48"/>
      <c r="K886" s="50"/>
    </row>
    <row r="887">
      <c r="A887" s="47"/>
      <c r="E887" s="47"/>
      <c r="F887" s="48"/>
      <c r="H887" s="49"/>
      <c r="I887" s="48"/>
      <c r="K887" s="50"/>
    </row>
    <row r="888">
      <c r="A888" s="47"/>
      <c r="E888" s="47"/>
      <c r="F888" s="48"/>
      <c r="H888" s="49"/>
      <c r="I888" s="48"/>
      <c r="K888" s="50"/>
    </row>
    <row r="889">
      <c r="A889" s="47"/>
      <c r="E889" s="47"/>
      <c r="F889" s="48"/>
      <c r="H889" s="49"/>
      <c r="I889" s="48"/>
      <c r="K889" s="50"/>
    </row>
    <row r="890">
      <c r="A890" s="47"/>
      <c r="E890" s="47"/>
      <c r="F890" s="48"/>
      <c r="H890" s="49"/>
      <c r="I890" s="48"/>
      <c r="K890" s="50"/>
    </row>
    <row r="891">
      <c r="A891" s="47"/>
      <c r="E891" s="47"/>
      <c r="F891" s="48"/>
      <c r="H891" s="49"/>
      <c r="I891" s="48"/>
      <c r="K891" s="50"/>
    </row>
    <row r="892">
      <c r="A892" s="47"/>
      <c r="E892" s="47"/>
      <c r="F892" s="48"/>
      <c r="H892" s="49"/>
      <c r="I892" s="48"/>
      <c r="K892" s="50"/>
    </row>
    <row r="893">
      <c r="A893" s="47"/>
      <c r="E893" s="47"/>
      <c r="F893" s="48"/>
      <c r="H893" s="49"/>
      <c r="I893" s="48"/>
      <c r="K893" s="50"/>
    </row>
    <row r="894">
      <c r="A894" s="47"/>
      <c r="E894" s="47"/>
      <c r="F894" s="48"/>
      <c r="H894" s="49"/>
      <c r="I894" s="48"/>
      <c r="K894" s="50"/>
    </row>
    <row r="895">
      <c r="A895" s="47"/>
      <c r="E895" s="47"/>
      <c r="F895" s="48"/>
      <c r="H895" s="49"/>
      <c r="I895" s="48"/>
      <c r="K895" s="50"/>
    </row>
    <row r="896">
      <c r="A896" s="47"/>
      <c r="E896" s="47"/>
      <c r="F896" s="48"/>
      <c r="H896" s="49"/>
      <c r="I896" s="48"/>
      <c r="K896" s="50"/>
    </row>
    <row r="897">
      <c r="A897" s="47"/>
      <c r="E897" s="47"/>
      <c r="F897" s="48"/>
      <c r="H897" s="49"/>
      <c r="I897" s="48"/>
      <c r="K897" s="50"/>
    </row>
    <row r="898">
      <c r="A898" s="47"/>
      <c r="E898" s="47"/>
      <c r="F898" s="48"/>
      <c r="H898" s="49"/>
      <c r="I898" s="48"/>
      <c r="K898" s="50"/>
    </row>
    <row r="899">
      <c r="A899" s="47"/>
      <c r="E899" s="47"/>
      <c r="F899" s="48"/>
      <c r="H899" s="49"/>
      <c r="I899" s="48"/>
      <c r="K899" s="50"/>
    </row>
    <row r="900">
      <c r="A900" s="47"/>
      <c r="E900" s="47"/>
      <c r="F900" s="48"/>
      <c r="H900" s="49"/>
      <c r="I900" s="48"/>
      <c r="K900" s="50"/>
    </row>
    <row r="901">
      <c r="A901" s="47"/>
      <c r="E901" s="47"/>
      <c r="F901" s="48"/>
      <c r="H901" s="49"/>
      <c r="I901" s="48"/>
      <c r="K901" s="50"/>
    </row>
    <row r="902">
      <c r="A902" s="47"/>
      <c r="E902" s="47"/>
      <c r="F902" s="48"/>
      <c r="H902" s="49"/>
      <c r="I902" s="48"/>
      <c r="K902" s="50"/>
    </row>
  </sheetData>
  <autoFilter ref="$A$1:$U$54">
    <sortState ref="A1:U54">
      <sortCondition ref="I1:I54"/>
      <sortCondition ref="F1:F54"/>
      <sortCondition ref="E1:E54"/>
      <sortCondition ref="D1:D54"/>
      <sortCondition ref="A1:A54"/>
      <sortCondition ref="J1:J54"/>
      <sortCondition ref="K1:K54"/>
    </sortState>
  </autoFilter>
  <dataValidations>
    <dataValidation type="list" allowBlank="1" showErrorMessage="1" sqref="I2:I902">
      <formula1>"Def globale,Def navale,Def terrestre,Mixte navale,Mixte terrestre,Off globale,Off navale,Off terrestre,Portail,Prod navale,Prod ressources,Prod terrestre,Sort,Sort ressources"</formula1>
    </dataValidation>
    <dataValidation type="list" allowBlank="1" sqref="F2:F902">
      <formula1>'Listing Effets'!$A$2:$A$51</formula1>
    </dataValidation>
  </dataValidations>
  <drawing r:id="rId1"/>
</worksheet>
</file>