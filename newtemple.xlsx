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ing PT" sheetId="1" r:id="rId5"/>
  </sheets>
  <definedNames>
    <definedName hidden="1" localSheetId="0" name="_xlnm._FilterDatabase">'Listing PT'!$A$1:$U$151</definedName>
  </definedNames>
  <calcPr/>
</workbook>
</file>

<file path=xl/sharedStrings.xml><?xml version="1.0" encoding="utf-8"?>
<sst xmlns="http://schemas.openxmlformats.org/spreadsheetml/2006/main" count="315" uniqueCount="205">
  <si>
    <t>ID</t>
  </si>
  <si>
    <t>X</t>
  </si>
  <si>
    <t>Y</t>
  </si>
  <si>
    <t>Nom</t>
  </si>
  <si>
    <t>Mer</t>
  </si>
  <si>
    <t>Effet</t>
  </si>
  <si>
    <t>Owner</t>
  </si>
  <si>
    <t>Effet réduit</t>
  </si>
  <si>
    <t>Type</t>
  </si>
  <si>
    <t>Tier</t>
  </si>
  <si>
    <t>Distance GT</t>
  </si>
  <si>
    <t>BBcode</t>
  </si>
  <si>
    <t>Zone</t>
  </si>
  <si>
    <t>Dif X</t>
  </si>
  <si>
    <t>Dif Y</t>
  </si>
  <si>
    <t>Gela</t>
  </si>
  <si>
    <t>Reduire toutes les durees de recrutement d'unites navales de 4.5%</t>
  </si>
  <si>
    <t>Helike</t>
  </si>
  <si>
    <t>Augmente la production de bois, de pierre et d'argent de 10%</t>
  </si>
  <si>
    <t>Kallithea</t>
  </si>
  <si>
    <t>Augmente la valeur defensive de toutes les unites de 2%</t>
  </si>
  <si>
    <t>Artemita</t>
  </si>
  <si>
    <t>Reduire tous les couts de recrutement d'unites navales de 6%</t>
  </si>
  <si>
    <t>Itanos</t>
  </si>
  <si>
    <t>Portail vers Olympus</t>
  </si>
  <si>
    <t>Rizinia</t>
  </si>
  <si>
    <t>Augmente la puissance offensive de Bateaux-feux de 8%</t>
  </si>
  <si>
    <t>Therma</t>
  </si>
  <si>
    <t>Pharsale</t>
  </si>
  <si>
    <t>Iasos</t>
  </si>
  <si>
    <t>Augmente la valeur defensive des Combattants a l'epee de 15%</t>
  </si>
  <si>
    <t>Gournia</t>
  </si>
  <si>
    <t>Dodone</t>
  </si>
  <si>
    <t>Akrillai</t>
  </si>
  <si>
    <t>Augmente la puissance offensive de Griffons de 8%</t>
  </si>
  <si>
    <t>Mycenes</t>
  </si>
  <si>
    <t>Augmente toutes les valeurs offensives des armes Contondant de 8%</t>
  </si>
  <si>
    <t>Thebai</t>
  </si>
  <si>
    <t>Augmente toutes les valeurs offensives des armes De jet de 8%</t>
  </si>
  <si>
    <t>Nichoria</t>
  </si>
  <si>
    <t>Avec le Festival Caritatif, le cout de la Marche Triomphale est encore reduit de 10%</t>
  </si>
  <si>
    <t>Actium</t>
  </si>
  <si>
    <t>Myonia</t>
  </si>
  <si>
    <t>Doriskos</t>
  </si>
  <si>
    <t>Augmente la puissance offensive de Trieres de 8%</t>
  </si>
  <si>
    <t>Nagidos</t>
  </si>
  <si>
    <t>Augmente la puissance offensive de Erinyes de 8%</t>
  </si>
  <si>
    <t>Olous</t>
  </si>
  <si>
    <t>Phaselis</t>
  </si>
  <si>
    <t>La generation de fureur avec le sacrifice d'Ares est augmentee de 15%</t>
  </si>
  <si>
    <t>Alinda</t>
  </si>
  <si>
    <t>Aenus</t>
  </si>
  <si>
    <t>Augmente la puissance offensive de Frondeurs de 10%</t>
  </si>
  <si>
    <t>Tragurion</t>
  </si>
  <si>
    <t>Augmente le bonus de concentration de la chasseresse de 10% supplementaires</t>
  </si>
  <si>
    <t>Didyma</t>
  </si>
  <si>
    <t>Adramyttium</t>
  </si>
  <si>
    <t>Kamares</t>
  </si>
  <si>
    <t>Mulai</t>
  </si>
  <si>
    <t>Lissus</t>
  </si>
  <si>
    <t>Reduit toutes les durees de recrutement d'unites terrestres de 4.5%</t>
  </si>
  <si>
    <t>Olympie</t>
  </si>
  <si>
    <t>Oricos</t>
  </si>
  <si>
    <t>Lamia</t>
  </si>
  <si>
    <t>Augmente les valeurs offensive et defensive de Centaures de 6%</t>
  </si>
  <si>
    <t>Khrisafa</t>
  </si>
  <si>
    <t>Amphicaea</t>
  </si>
  <si>
    <t>Ialysos</t>
  </si>
  <si>
    <t>Kannia</t>
  </si>
  <si>
    <t>Trezene</t>
  </si>
  <si>
    <t>Akroinon</t>
  </si>
  <si>
    <t>Augmente les valeurs offensive et defensive de Hydres de 6%</t>
  </si>
  <si>
    <t>Alalia</t>
  </si>
  <si>
    <t>Augmente la valeur offensive de toutes les unites de 3%</t>
  </si>
  <si>
    <t>Amphipolis</t>
  </si>
  <si>
    <t>Reduit tous les couts de recrutement d'unites terrestres de 6%</t>
  </si>
  <si>
    <t>Parium</t>
  </si>
  <si>
    <t>Mouriatadha</t>
  </si>
  <si>
    <t>Reduire tous les couts de recrutement bireme de 10%</t>
  </si>
  <si>
    <t>Kasmenai</t>
  </si>
  <si>
    <t>Lessa</t>
  </si>
  <si>
    <t>Thassos</t>
  </si>
  <si>
    <t>Cynossema</t>
  </si>
  <si>
    <t>Augmente la puissance offensive de Cavaliers de 10%</t>
  </si>
  <si>
    <t>Percote</t>
  </si>
  <si>
    <t>Lato</t>
  </si>
  <si>
    <t>Augmente la valeur offensive de toutes les unites terrestres non mythiques de 8%</t>
  </si>
  <si>
    <t>Pseira</t>
  </si>
  <si>
    <t>Reduit tous les couts de recrutement d'unites terrestres de 10%</t>
  </si>
  <si>
    <t>Larissa</t>
  </si>
  <si>
    <t>Knossos</t>
  </si>
  <si>
    <t>Chalcis</t>
  </si>
  <si>
    <t>Lilaea</t>
  </si>
  <si>
    <t>Sklavokampos</t>
  </si>
  <si>
    <t>Myndus</t>
  </si>
  <si>
    <t>Augmente la valeur defensive des Hoplites de 15%</t>
  </si>
  <si>
    <t>Myre</t>
  </si>
  <si>
    <t>Taras</t>
  </si>
  <si>
    <t>Siteia</t>
  </si>
  <si>
    <t>Amyclees</t>
  </si>
  <si>
    <t>Augmente la valeur defensive des Archers de 15%</t>
  </si>
  <si>
    <t>Scyllaeum</t>
  </si>
  <si>
    <t>Augmente les valeurs offensive et defensive de Chars de 10%</t>
  </si>
  <si>
    <t>Dicaearchia</t>
  </si>
  <si>
    <t>Cebrene</t>
  </si>
  <si>
    <t>Kallipolis</t>
  </si>
  <si>
    <t>Pteleum</t>
  </si>
  <si>
    <t>Copae</t>
  </si>
  <si>
    <t>Dioscurias</t>
  </si>
  <si>
    <t>Augmente la puissance offensive de Manticores de 8%</t>
  </si>
  <si>
    <t>Akragas</t>
  </si>
  <si>
    <t>Nicaea</t>
  </si>
  <si>
    <t>Maenace</t>
  </si>
  <si>
    <t>Amaseia</t>
  </si>
  <si>
    <t>Heraclea</t>
  </si>
  <si>
    <t>Apollonie</t>
  </si>
  <si>
    <t>Kydonia</t>
  </si>
  <si>
    <t>Bassae</t>
  </si>
  <si>
    <t>Mallia</t>
  </si>
  <si>
    <t>Selinus</t>
  </si>
  <si>
    <t>Nicopolis</t>
  </si>
  <si>
    <t>Olbia</t>
  </si>
  <si>
    <t>Augmente toutes les valeurs offensives des armes Blanche de 8%</t>
  </si>
  <si>
    <t>Pella</t>
  </si>
  <si>
    <t>Marathon</t>
  </si>
  <si>
    <t>Aspendos</t>
  </si>
  <si>
    <t>Retour des Enfers rend 15% d'unites en plus</t>
  </si>
  <si>
    <t>Helorus</t>
  </si>
  <si>
    <t>Augmente la valeur defensive des Biremes de 8%</t>
  </si>
  <si>
    <t>Pavlopetri</t>
  </si>
  <si>
    <t>Chamaizi</t>
  </si>
  <si>
    <t>Kerkinitida</t>
  </si>
  <si>
    <t>Heraklion</t>
  </si>
  <si>
    <t>Ephyra</t>
  </si>
  <si>
    <t>Arginuses</t>
  </si>
  <si>
    <t>Gorgippia</t>
  </si>
  <si>
    <t>Pharae</t>
  </si>
  <si>
    <t>Anthedon</t>
  </si>
  <si>
    <t>Augmente la valeur offensive de toutes les unites navales de 5%</t>
  </si>
  <si>
    <t>Chytri</t>
  </si>
  <si>
    <t>Troie</t>
  </si>
  <si>
    <t>Masis</t>
  </si>
  <si>
    <t>Augmente la valeur offensive de toutes les unites terrestres non mythiques de 6%</t>
  </si>
  <si>
    <t>Decelie</t>
  </si>
  <si>
    <t>Methumna</t>
  </si>
  <si>
    <t>Morgantina</t>
  </si>
  <si>
    <t>Eubea</t>
  </si>
  <si>
    <t>Colosse</t>
  </si>
  <si>
    <t>Hemeroskopeion</t>
  </si>
  <si>
    <t>Stratos</t>
  </si>
  <si>
    <t>Parthenopolis</t>
  </si>
  <si>
    <t>Emporion</t>
  </si>
  <si>
    <t>Abydos</t>
  </si>
  <si>
    <t>Pitane</t>
  </si>
  <si>
    <t>Delion</t>
  </si>
  <si>
    <t>Agde</t>
  </si>
  <si>
    <t>Augmente l'effet de l'appel de la mer de 15%</t>
  </si>
  <si>
    <t>Gortyn</t>
  </si>
  <si>
    <t>Antipatrea</t>
  </si>
  <si>
    <t>Mariage donne 120 ressources en plus</t>
  </si>
  <si>
    <t>Camiros</t>
  </si>
  <si>
    <t>Naxos</t>
  </si>
  <si>
    <t>Same</t>
  </si>
  <si>
    <t>Tenedos</t>
  </si>
  <si>
    <t>Thyria</t>
  </si>
  <si>
    <t>Opus</t>
  </si>
  <si>
    <t>Pharos</t>
  </si>
  <si>
    <t>Cythera</t>
  </si>
  <si>
    <t>Mukenai</t>
  </si>
  <si>
    <t>Kelenderis</t>
  </si>
  <si>
    <t>Force heroique augmente l'attaque de toutes les unites de 3%</t>
  </si>
  <si>
    <t>Karyes</t>
  </si>
  <si>
    <t>Thebes</t>
  </si>
  <si>
    <t>Philippi</t>
  </si>
  <si>
    <t>Augmente la production de bois, de pierre et d'argent de 20%</t>
  </si>
  <si>
    <t>Epidamnos</t>
  </si>
  <si>
    <t>Nysa</t>
  </si>
  <si>
    <t>Pydna</t>
  </si>
  <si>
    <t>Delos</t>
  </si>
  <si>
    <t>Orestias</t>
  </si>
  <si>
    <t>Teos</t>
  </si>
  <si>
    <t>Amphigeneia</t>
  </si>
  <si>
    <t>Antioche</t>
  </si>
  <si>
    <t>Callipolis</t>
  </si>
  <si>
    <t>Assus</t>
  </si>
  <si>
    <t>Aegae</t>
  </si>
  <si>
    <t>Areopoli</t>
  </si>
  <si>
    <t>Rhypes</t>
  </si>
  <si>
    <t>Scione</t>
  </si>
  <si>
    <t>Bouthroton</t>
  </si>
  <si>
    <t>Massalia</t>
  </si>
  <si>
    <t>Hierapetra</t>
  </si>
  <si>
    <t>Amnisos</t>
  </si>
  <si>
    <t>Laus</t>
  </si>
  <si>
    <t>Asine</t>
  </si>
  <si>
    <t>Augmente la valeur defensive des Cerberes de 10%</t>
  </si>
  <si>
    <t>Cnidus</t>
  </si>
  <si>
    <t>Kos</t>
  </si>
  <si>
    <t>Lampsaque</t>
  </si>
  <si>
    <t>Modon</t>
  </si>
  <si>
    <t>Menelaion</t>
  </si>
  <si>
    <t>Argos</t>
  </si>
  <si>
    <t>Juktas</t>
  </si>
  <si>
    <t>Augmente la puissance offensive de Sirenes de 8%</t>
  </si>
  <si>
    <t>Philippopolis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</si>
</sst>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000000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0" fillId="0" fontId="2" numFmtId="0" xfId="0" applyFont="1"/>
    <xf borderId="0" fillId="0" fontId="2" numFmtId="4" xfId="0" applyAlignment="1" applyFont="1" applyNumberForma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Fon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6.13"/>
    <col customWidth="1" min="3" max="3" width="4.63"/>
    <col customWidth="1" min="4" max="4" width="13.63"/>
    <col customWidth="1" min="5" max="5" width="6.5"/>
    <col customWidth="1" min="6" max="6" width="79.75"/>
    <col customWidth="1" min="7" max="7" width="22.25"/>
    <col customWidth="1" min="9" max="9" width="18.13"/>
    <col customWidth="1" min="10" max="10" width="6.5"/>
    <col customWidth="1" min="11" max="11" width="15.25"/>
    <col customWidth="1" min="12" max="12" width="16.13"/>
    <col customWidth="1" min="14" max="15" width="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1">
        <v>71.0</v>
      </c>
      <c r="B2" s="2">
        <v>492.0</v>
      </c>
      <c r="C2" s="2">
        <v>314.0</v>
      </c>
      <c r="D2" s="2" t="s">
        <v>15</v>
      </c>
      <c r="E2" s="5">
        <v>43.0</v>
      </c>
      <c r="F2" s="2" t="s">
        <v>16</v>
      </c>
      <c r="H2" s="6" t="str">
        <f t="shared" ref="H2:H151" si="2">VLOOKUP(F2,'Listing Effets'!$A$2:$E$341,5,False)</f>
        <v>#REF!</v>
      </c>
      <c r="I2" s="7" t="str">
        <f t="shared" ref="I2:I151" si="3">VLOOKUP(F2,'Listing Effets'!$A$2:$D$101,2,FALSE)</f>
        <v>#REF!</v>
      </c>
      <c r="J2" s="7" t="str">
        <f t="shared" ref="J2:J151" si="4">VLOOKUP(F2,'Listing Effets'!$A$2:$D$101,3,FALSE)</f>
        <v>#REF!</v>
      </c>
      <c r="K2" s="8" t="str">
        <f t="shared" ref="K2:K151" si="5">ABS(SQRT((C2-500)^2+(B2-500)^2)-Calculs!$C$6)</f>
        <v>#REF!</v>
      </c>
      <c r="L2" s="9" t="str">
        <f t="shared" ref="L2:L151" si="6">CONCAT(CONCAT("[temple]",A2),"[/temple]")</f>
        <v>[temple]71[/temple]</v>
      </c>
      <c r="M2" s="7" t="str">
        <f t="shared" ref="M2:M151" si="7">IF(ABS(SQRT((C2-500)^2+(B2-500)^2))&lt;Calculs!$C$7,"Inté",IF(K2&gt;Calculs!$C$8,"Exté",IF(AND(N2&lt;=0,O2&lt;=0),"Nord-Ouest",IF(AND(N2&lt;=0,O2&gt;=0),"Sud-Ouest",IF(AND(N2&gt;=0,O2&lt;=0),"Nord-Est",IF(AND(N2&gt;=0,O2&gt;=0),"Sud-Est","Probleme"))))))</f>
        <v>#REF!</v>
      </c>
      <c r="N2" s="7">
        <f t="shared" ref="N2:O2" si="1">B2-500</f>
        <v>-8</v>
      </c>
      <c r="O2" s="7">
        <f t="shared" si="1"/>
        <v>-186</v>
      </c>
    </row>
    <row r="3">
      <c r="A3" s="1">
        <v>77.0</v>
      </c>
      <c r="B3" s="2">
        <v>418.0</v>
      </c>
      <c r="C3" s="2">
        <v>666.0</v>
      </c>
      <c r="D3" s="2" t="s">
        <v>17</v>
      </c>
      <c r="E3" s="5">
        <v>46.0</v>
      </c>
      <c r="F3" s="2" t="s">
        <v>18</v>
      </c>
      <c r="H3" s="6" t="str">
        <f t="shared" si="2"/>
        <v>#REF!</v>
      </c>
      <c r="I3" s="7" t="str">
        <f t="shared" si="3"/>
        <v>#REF!</v>
      </c>
      <c r="J3" s="7" t="str">
        <f t="shared" si="4"/>
        <v>#REF!</v>
      </c>
      <c r="K3" s="8" t="str">
        <f t="shared" si="5"/>
        <v>#REF!</v>
      </c>
      <c r="L3" s="9" t="str">
        <f t="shared" si="6"/>
        <v>[temple]77[/temple]</v>
      </c>
      <c r="M3" s="7" t="str">
        <f t="shared" si="7"/>
        <v>#REF!</v>
      </c>
      <c r="N3" s="7">
        <f t="shared" ref="N3:O3" si="8">B3-500</f>
        <v>-82</v>
      </c>
      <c r="O3" s="7">
        <f t="shared" si="8"/>
        <v>166</v>
      </c>
    </row>
    <row r="4">
      <c r="A4" s="1">
        <v>78.0</v>
      </c>
      <c r="B4" s="2">
        <v>319.0</v>
      </c>
      <c r="C4" s="2">
        <v>449.0</v>
      </c>
      <c r="D4" s="2" t="s">
        <v>19</v>
      </c>
      <c r="E4" s="5">
        <v>34.0</v>
      </c>
      <c r="F4" s="2" t="s">
        <v>20</v>
      </c>
      <c r="H4" s="6" t="str">
        <f t="shared" si="2"/>
        <v>#REF!</v>
      </c>
      <c r="I4" s="7" t="str">
        <f t="shared" si="3"/>
        <v>#REF!</v>
      </c>
      <c r="J4" s="7" t="str">
        <f t="shared" si="4"/>
        <v>#REF!</v>
      </c>
      <c r="K4" s="8" t="str">
        <f t="shared" si="5"/>
        <v>#REF!</v>
      </c>
      <c r="L4" s="9" t="str">
        <f t="shared" si="6"/>
        <v>[temple]78[/temple]</v>
      </c>
      <c r="M4" s="7" t="str">
        <f t="shared" si="7"/>
        <v>#REF!</v>
      </c>
      <c r="N4" s="7">
        <f t="shared" ref="N4:O4" si="9">B4-500</f>
        <v>-181</v>
      </c>
      <c r="O4" s="7">
        <f t="shared" si="9"/>
        <v>-51</v>
      </c>
    </row>
    <row r="5">
      <c r="A5" s="1">
        <v>79.0</v>
      </c>
      <c r="B5" s="2">
        <v>516.0</v>
      </c>
      <c r="C5" s="2">
        <v>682.0</v>
      </c>
      <c r="D5" s="2" t="s">
        <v>21</v>
      </c>
      <c r="E5" s="5">
        <v>56.0</v>
      </c>
      <c r="F5" s="2" t="s">
        <v>22</v>
      </c>
      <c r="H5" s="6" t="str">
        <f t="shared" si="2"/>
        <v>#REF!</v>
      </c>
      <c r="I5" s="7" t="str">
        <f t="shared" si="3"/>
        <v>#REF!</v>
      </c>
      <c r="J5" s="7" t="str">
        <f t="shared" si="4"/>
        <v>#REF!</v>
      </c>
      <c r="K5" s="8" t="str">
        <f t="shared" si="5"/>
        <v>#REF!</v>
      </c>
      <c r="L5" s="9" t="str">
        <f t="shared" si="6"/>
        <v>[temple]79[/temple]</v>
      </c>
      <c r="M5" s="7" t="str">
        <f t="shared" si="7"/>
        <v>#REF!</v>
      </c>
      <c r="N5" s="7">
        <f t="shared" ref="N5:O5" si="10">B5-500</f>
        <v>16</v>
      </c>
      <c r="O5" s="7">
        <f t="shared" si="10"/>
        <v>182</v>
      </c>
    </row>
    <row r="6">
      <c r="A6" s="1">
        <v>68.0</v>
      </c>
      <c r="B6" s="2">
        <v>606.0</v>
      </c>
      <c r="C6" s="2">
        <v>648.0</v>
      </c>
      <c r="D6" s="2" t="s">
        <v>23</v>
      </c>
      <c r="E6" s="5">
        <v>66.0</v>
      </c>
      <c r="F6" s="2" t="s">
        <v>24</v>
      </c>
      <c r="H6" s="6" t="str">
        <f t="shared" si="2"/>
        <v>#REF!</v>
      </c>
      <c r="I6" s="7" t="str">
        <f t="shared" si="3"/>
        <v>#REF!</v>
      </c>
      <c r="J6" s="7" t="str">
        <f t="shared" si="4"/>
        <v>#REF!</v>
      </c>
      <c r="K6" s="8" t="str">
        <f t="shared" si="5"/>
        <v>#REF!</v>
      </c>
      <c r="L6" s="9" t="str">
        <f t="shared" si="6"/>
        <v>[temple]68[/temple]</v>
      </c>
      <c r="M6" s="7" t="str">
        <f t="shared" si="7"/>
        <v>#REF!</v>
      </c>
      <c r="N6" s="7">
        <f t="shared" ref="N6:O6" si="11">B6-500</f>
        <v>106</v>
      </c>
      <c r="O6" s="7">
        <f t="shared" si="11"/>
        <v>148</v>
      </c>
    </row>
    <row r="7">
      <c r="A7" s="1">
        <v>70.0</v>
      </c>
      <c r="B7" s="2">
        <v>690.0</v>
      </c>
      <c r="C7" s="2">
        <v>486.0</v>
      </c>
      <c r="D7" s="2" t="s">
        <v>25</v>
      </c>
      <c r="E7" s="5">
        <v>64.0</v>
      </c>
      <c r="F7" s="2" t="s">
        <v>26</v>
      </c>
      <c r="H7" s="6" t="str">
        <f t="shared" si="2"/>
        <v>#REF!</v>
      </c>
      <c r="I7" s="7" t="str">
        <f t="shared" si="3"/>
        <v>#REF!</v>
      </c>
      <c r="J7" s="7" t="str">
        <f t="shared" si="4"/>
        <v>#REF!</v>
      </c>
      <c r="K7" s="8" t="str">
        <f t="shared" si="5"/>
        <v>#REF!</v>
      </c>
      <c r="L7" s="9" t="str">
        <f t="shared" si="6"/>
        <v>[temple]70[/temple]</v>
      </c>
      <c r="M7" s="7" t="str">
        <f t="shared" si="7"/>
        <v>#REF!</v>
      </c>
      <c r="N7" s="7">
        <f t="shared" ref="N7:O7" si="12">B7-500</f>
        <v>190</v>
      </c>
      <c r="O7" s="7">
        <f t="shared" si="12"/>
        <v>-14</v>
      </c>
    </row>
    <row r="8">
      <c r="A8" s="1">
        <v>64.0</v>
      </c>
      <c r="B8" s="2">
        <v>538.0</v>
      </c>
      <c r="C8" s="2">
        <v>677.0</v>
      </c>
      <c r="D8" s="2" t="s">
        <v>27</v>
      </c>
      <c r="E8" s="5">
        <v>56.0</v>
      </c>
      <c r="F8" s="2" t="s">
        <v>24</v>
      </c>
      <c r="H8" s="6" t="str">
        <f t="shared" si="2"/>
        <v>#REF!</v>
      </c>
      <c r="I8" s="7" t="str">
        <f t="shared" si="3"/>
        <v>#REF!</v>
      </c>
      <c r="J8" s="7" t="str">
        <f t="shared" si="4"/>
        <v>#REF!</v>
      </c>
      <c r="K8" s="8" t="str">
        <f t="shared" si="5"/>
        <v>#REF!</v>
      </c>
      <c r="L8" s="9" t="str">
        <f t="shared" si="6"/>
        <v>[temple]64[/temple]</v>
      </c>
      <c r="M8" s="7" t="str">
        <f t="shared" si="7"/>
        <v>#REF!</v>
      </c>
      <c r="N8" s="7">
        <f t="shared" ref="N8:O8" si="13">B8-500</f>
        <v>38</v>
      </c>
      <c r="O8" s="7">
        <f t="shared" si="13"/>
        <v>177</v>
      </c>
    </row>
    <row r="9">
      <c r="A9" s="1">
        <v>62.0</v>
      </c>
      <c r="B9" s="2">
        <v>680.0</v>
      </c>
      <c r="C9" s="2">
        <v>512.0</v>
      </c>
      <c r="D9" s="2" t="s">
        <v>28</v>
      </c>
      <c r="E9" s="5">
        <v>65.0</v>
      </c>
      <c r="F9" s="2" t="s">
        <v>20</v>
      </c>
      <c r="H9" s="6" t="str">
        <f t="shared" si="2"/>
        <v>#REF!</v>
      </c>
      <c r="I9" s="7" t="str">
        <f t="shared" si="3"/>
        <v>#REF!</v>
      </c>
      <c r="J9" s="7" t="str">
        <f t="shared" si="4"/>
        <v>#REF!</v>
      </c>
      <c r="K9" s="8" t="str">
        <f t="shared" si="5"/>
        <v>#REF!</v>
      </c>
      <c r="L9" s="9" t="str">
        <f t="shared" si="6"/>
        <v>[temple]62[/temple]</v>
      </c>
      <c r="M9" s="7" t="str">
        <f t="shared" si="7"/>
        <v>#REF!</v>
      </c>
      <c r="N9" s="7">
        <f t="shared" ref="N9:O9" si="14">B9-500</f>
        <v>180</v>
      </c>
      <c r="O9" s="7">
        <f t="shared" si="14"/>
        <v>12</v>
      </c>
    </row>
    <row r="10">
      <c r="A10" s="1">
        <v>74.0</v>
      </c>
      <c r="B10" s="2">
        <v>637.0</v>
      </c>
      <c r="C10" s="2">
        <v>365.0</v>
      </c>
      <c r="D10" s="2" t="s">
        <v>29</v>
      </c>
      <c r="E10" s="5">
        <v>63.0</v>
      </c>
      <c r="F10" s="2" t="s">
        <v>30</v>
      </c>
      <c r="H10" s="6" t="str">
        <f t="shared" si="2"/>
        <v>#REF!</v>
      </c>
      <c r="I10" s="7" t="str">
        <f t="shared" si="3"/>
        <v>#REF!</v>
      </c>
      <c r="J10" s="7" t="str">
        <f t="shared" si="4"/>
        <v>#REF!</v>
      </c>
      <c r="K10" s="8" t="str">
        <f t="shared" si="5"/>
        <v>#REF!</v>
      </c>
      <c r="L10" s="9" t="str">
        <f t="shared" si="6"/>
        <v>[temple]74[/temple]</v>
      </c>
      <c r="M10" s="7" t="str">
        <f t="shared" si="7"/>
        <v>#REF!</v>
      </c>
      <c r="N10" s="7">
        <f t="shared" ref="N10:O10" si="15">B10-500</f>
        <v>137</v>
      </c>
      <c r="O10" s="7">
        <f t="shared" si="15"/>
        <v>-135</v>
      </c>
    </row>
    <row r="11">
      <c r="A11" s="1">
        <v>66.0</v>
      </c>
      <c r="B11" s="2">
        <v>480.0</v>
      </c>
      <c r="C11" s="2">
        <v>678.0</v>
      </c>
      <c r="D11" s="2" t="s">
        <v>31</v>
      </c>
      <c r="E11" s="5">
        <v>46.0</v>
      </c>
      <c r="F11" s="2" t="s">
        <v>20</v>
      </c>
      <c r="H11" s="6" t="str">
        <f t="shared" si="2"/>
        <v>#REF!</v>
      </c>
      <c r="I11" s="7" t="str">
        <f t="shared" si="3"/>
        <v>#REF!</v>
      </c>
      <c r="J11" s="7" t="str">
        <f t="shared" si="4"/>
        <v>#REF!</v>
      </c>
      <c r="K11" s="8" t="str">
        <f t="shared" si="5"/>
        <v>#REF!</v>
      </c>
      <c r="L11" s="9" t="str">
        <f t="shared" si="6"/>
        <v>[temple]66[/temple]</v>
      </c>
      <c r="M11" s="7" t="str">
        <f t="shared" si="7"/>
        <v>#REF!</v>
      </c>
      <c r="N11" s="7">
        <f t="shared" ref="N11:O11" si="16">B11-500</f>
        <v>-20</v>
      </c>
      <c r="O11" s="7">
        <f t="shared" si="16"/>
        <v>178</v>
      </c>
    </row>
    <row r="12">
      <c r="A12" s="1">
        <v>54.0</v>
      </c>
      <c r="B12" s="2">
        <v>424.0</v>
      </c>
      <c r="C12" s="2">
        <v>338.0</v>
      </c>
      <c r="D12" s="2" t="s">
        <v>32</v>
      </c>
      <c r="E12" s="5">
        <v>43.0</v>
      </c>
      <c r="F12" s="2" t="s">
        <v>18</v>
      </c>
      <c r="H12" s="6" t="str">
        <f t="shared" si="2"/>
        <v>#REF!</v>
      </c>
      <c r="I12" s="7" t="str">
        <f t="shared" si="3"/>
        <v>#REF!</v>
      </c>
      <c r="J12" s="7" t="str">
        <f t="shared" si="4"/>
        <v>#REF!</v>
      </c>
      <c r="K12" s="8" t="str">
        <f t="shared" si="5"/>
        <v>#REF!</v>
      </c>
      <c r="L12" s="9" t="str">
        <f t="shared" si="6"/>
        <v>[temple]54[/temple]</v>
      </c>
      <c r="M12" s="7" t="str">
        <f t="shared" si="7"/>
        <v>#REF!</v>
      </c>
      <c r="N12" s="7">
        <f t="shared" ref="N12:O12" si="17">B12-500</f>
        <v>-76</v>
      </c>
      <c r="O12" s="7">
        <f t="shared" si="17"/>
        <v>-162</v>
      </c>
    </row>
    <row r="13">
      <c r="A13" s="1">
        <v>57.0</v>
      </c>
      <c r="B13" s="2">
        <v>588.0</v>
      </c>
      <c r="C13" s="2">
        <v>345.0</v>
      </c>
      <c r="D13" s="2" t="s">
        <v>33</v>
      </c>
      <c r="E13" s="5">
        <v>53.0</v>
      </c>
      <c r="F13" s="2" t="s">
        <v>34</v>
      </c>
      <c r="H13" s="6" t="str">
        <f t="shared" si="2"/>
        <v>#REF!</v>
      </c>
      <c r="I13" s="7" t="str">
        <f t="shared" si="3"/>
        <v>#REF!</v>
      </c>
      <c r="J13" s="7" t="str">
        <f t="shared" si="4"/>
        <v>#REF!</v>
      </c>
      <c r="K13" s="8" t="str">
        <f t="shared" si="5"/>
        <v>#REF!</v>
      </c>
      <c r="L13" s="9" t="str">
        <f t="shared" si="6"/>
        <v>[temple]57[/temple]</v>
      </c>
      <c r="M13" s="7" t="str">
        <f t="shared" si="7"/>
        <v>#REF!</v>
      </c>
      <c r="N13" s="7">
        <f t="shared" ref="N13:O13" si="18">B13-500</f>
        <v>88</v>
      </c>
      <c r="O13" s="7">
        <f t="shared" si="18"/>
        <v>-155</v>
      </c>
    </row>
    <row r="14">
      <c r="A14" s="1">
        <v>69.0</v>
      </c>
      <c r="B14" s="2">
        <v>440.0</v>
      </c>
      <c r="C14" s="2">
        <v>315.0</v>
      </c>
      <c r="D14" s="2" t="s">
        <v>35</v>
      </c>
      <c r="E14" s="5">
        <v>43.0</v>
      </c>
      <c r="F14" s="2" t="s">
        <v>36</v>
      </c>
      <c r="H14" s="6" t="str">
        <f t="shared" si="2"/>
        <v>#REF!</v>
      </c>
      <c r="I14" s="7" t="str">
        <f t="shared" si="3"/>
        <v>#REF!</v>
      </c>
      <c r="J14" s="7" t="str">
        <f t="shared" si="4"/>
        <v>#REF!</v>
      </c>
      <c r="K14" s="8" t="str">
        <f t="shared" si="5"/>
        <v>#REF!</v>
      </c>
      <c r="L14" s="9" t="str">
        <f t="shared" si="6"/>
        <v>[temple]69[/temple]</v>
      </c>
      <c r="M14" s="7" t="str">
        <f t="shared" si="7"/>
        <v>#REF!</v>
      </c>
      <c r="N14" s="7">
        <f t="shared" ref="N14:O14" si="19">B14-500</f>
        <v>-60</v>
      </c>
      <c r="O14" s="7">
        <f t="shared" si="19"/>
        <v>-185</v>
      </c>
    </row>
    <row r="15">
      <c r="A15" s="1">
        <v>82.0</v>
      </c>
      <c r="B15" s="2">
        <v>563.0</v>
      </c>
      <c r="C15" s="2">
        <v>684.0</v>
      </c>
      <c r="D15" s="1" t="s">
        <v>37</v>
      </c>
      <c r="E15" s="5">
        <v>56.0</v>
      </c>
      <c r="F15" s="2" t="s">
        <v>38</v>
      </c>
      <c r="H15" s="6" t="str">
        <f t="shared" si="2"/>
        <v>#REF!</v>
      </c>
      <c r="I15" s="7" t="str">
        <f t="shared" si="3"/>
        <v>#REF!</v>
      </c>
      <c r="J15" s="7" t="str">
        <f t="shared" si="4"/>
        <v>#REF!</v>
      </c>
      <c r="K15" s="8" t="str">
        <f t="shared" si="5"/>
        <v>#REF!</v>
      </c>
      <c r="L15" s="9" t="str">
        <f t="shared" si="6"/>
        <v>[temple]82[/temple]</v>
      </c>
      <c r="M15" s="7" t="str">
        <f t="shared" si="7"/>
        <v>#REF!</v>
      </c>
      <c r="N15" s="7">
        <f t="shared" ref="N15:O15" si="20">B15-500</f>
        <v>63</v>
      </c>
      <c r="O15" s="7">
        <f t="shared" si="20"/>
        <v>184</v>
      </c>
    </row>
    <row r="16">
      <c r="A16" s="1">
        <v>59.0</v>
      </c>
      <c r="B16" s="2">
        <v>324.0</v>
      </c>
      <c r="C16" s="2">
        <v>485.0</v>
      </c>
      <c r="D16" s="1" t="s">
        <v>39</v>
      </c>
      <c r="E16" s="5">
        <v>34.0</v>
      </c>
      <c r="F16" s="2" t="s">
        <v>40</v>
      </c>
      <c r="H16" s="6" t="str">
        <f t="shared" si="2"/>
        <v>#REF!</v>
      </c>
      <c r="I16" s="7" t="str">
        <f t="shared" si="3"/>
        <v>#REF!</v>
      </c>
      <c r="J16" s="7" t="str">
        <f t="shared" si="4"/>
        <v>#REF!</v>
      </c>
      <c r="K16" s="8" t="str">
        <f t="shared" si="5"/>
        <v>#REF!</v>
      </c>
      <c r="L16" s="9" t="str">
        <f t="shared" si="6"/>
        <v>[temple]59[/temple]</v>
      </c>
      <c r="M16" s="7" t="str">
        <f t="shared" si="7"/>
        <v>#REF!</v>
      </c>
      <c r="N16" s="7">
        <f t="shared" ref="N16:O16" si="21">B16-500</f>
        <v>-176</v>
      </c>
      <c r="O16" s="7">
        <f t="shared" si="21"/>
        <v>-15</v>
      </c>
    </row>
    <row r="17">
      <c r="A17" s="1">
        <v>84.0</v>
      </c>
      <c r="B17" s="2">
        <v>532.0</v>
      </c>
      <c r="C17" s="2">
        <v>307.0</v>
      </c>
      <c r="D17" s="2" t="s">
        <v>41</v>
      </c>
      <c r="E17" s="5">
        <v>53.0</v>
      </c>
      <c r="F17" s="2" t="s">
        <v>30</v>
      </c>
      <c r="H17" s="6" t="str">
        <f t="shared" si="2"/>
        <v>#REF!</v>
      </c>
      <c r="I17" s="7" t="str">
        <f t="shared" si="3"/>
        <v>#REF!</v>
      </c>
      <c r="J17" s="7" t="str">
        <f t="shared" si="4"/>
        <v>#REF!</v>
      </c>
      <c r="K17" s="8" t="str">
        <f t="shared" si="5"/>
        <v>#REF!</v>
      </c>
      <c r="L17" s="9" t="str">
        <f t="shared" si="6"/>
        <v>[temple]84[/temple]</v>
      </c>
      <c r="M17" s="7" t="str">
        <f t="shared" si="7"/>
        <v>#REF!</v>
      </c>
      <c r="N17" s="7">
        <f t="shared" ref="N17:O17" si="22">B17-500</f>
        <v>32</v>
      </c>
      <c r="O17" s="7">
        <f t="shared" si="22"/>
        <v>-193</v>
      </c>
    </row>
    <row r="18">
      <c r="A18" s="1">
        <v>65.0</v>
      </c>
      <c r="B18" s="2">
        <v>393.0</v>
      </c>
      <c r="C18" s="2">
        <v>361.0</v>
      </c>
      <c r="D18" s="2" t="s">
        <v>42</v>
      </c>
      <c r="E18" s="5">
        <v>33.0</v>
      </c>
      <c r="F18" s="2" t="s">
        <v>18</v>
      </c>
      <c r="H18" s="6" t="str">
        <f t="shared" si="2"/>
        <v>#REF!</v>
      </c>
      <c r="I18" s="7" t="str">
        <f t="shared" si="3"/>
        <v>#REF!</v>
      </c>
      <c r="J18" s="7" t="str">
        <f t="shared" si="4"/>
        <v>#REF!</v>
      </c>
      <c r="K18" s="8" t="str">
        <f t="shared" si="5"/>
        <v>#REF!</v>
      </c>
      <c r="L18" s="9" t="str">
        <f t="shared" si="6"/>
        <v>[temple]65[/temple]</v>
      </c>
      <c r="M18" s="7" t="str">
        <f t="shared" si="7"/>
        <v>#REF!</v>
      </c>
      <c r="N18" s="7">
        <f t="shared" ref="N18:O18" si="23">B18-500</f>
        <v>-107</v>
      </c>
      <c r="O18" s="7">
        <f t="shared" si="23"/>
        <v>-139</v>
      </c>
    </row>
    <row r="19">
      <c r="A19" s="1">
        <v>83.0</v>
      </c>
      <c r="B19" s="2">
        <v>661.0</v>
      </c>
      <c r="C19" s="2">
        <v>616.0</v>
      </c>
      <c r="D19" s="2" t="s">
        <v>43</v>
      </c>
      <c r="E19" s="5">
        <v>66.0</v>
      </c>
      <c r="F19" s="2" t="s">
        <v>44</v>
      </c>
      <c r="H19" s="6" t="str">
        <f t="shared" si="2"/>
        <v>#REF!</v>
      </c>
      <c r="I19" s="7" t="str">
        <f t="shared" si="3"/>
        <v>#REF!</v>
      </c>
      <c r="J19" s="7" t="str">
        <f t="shared" si="4"/>
        <v>#REF!</v>
      </c>
      <c r="K19" s="8" t="str">
        <f t="shared" si="5"/>
        <v>#REF!</v>
      </c>
      <c r="L19" s="9" t="str">
        <f t="shared" si="6"/>
        <v>[temple]83[/temple]</v>
      </c>
      <c r="M19" s="7" t="str">
        <f t="shared" si="7"/>
        <v>#REF!</v>
      </c>
      <c r="N19" s="7">
        <f t="shared" ref="N19:O19" si="24">B19-500</f>
        <v>161</v>
      </c>
      <c r="O19" s="7">
        <f t="shared" si="24"/>
        <v>116</v>
      </c>
    </row>
    <row r="20">
      <c r="A20" s="1">
        <v>80.0</v>
      </c>
      <c r="B20" s="2">
        <v>593.0</v>
      </c>
      <c r="C20" s="2">
        <v>676.0</v>
      </c>
      <c r="D20" s="2" t="s">
        <v>45</v>
      </c>
      <c r="E20" s="5">
        <v>56.0</v>
      </c>
      <c r="F20" s="2" t="s">
        <v>46</v>
      </c>
      <c r="H20" s="6" t="str">
        <f t="shared" si="2"/>
        <v>#REF!</v>
      </c>
      <c r="I20" s="7" t="str">
        <f t="shared" si="3"/>
        <v>#REF!</v>
      </c>
      <c r="J20" s="7" t="str">
        <f t="shared" si="4"/>
        <v>#REF!</v>
      </c>
      <c r="K20" s="8" t="str">
        <f t="shared" si="5"/>
        <v>#REF!</v>
      </c>
      <c r="L20" s="9" t="str">
        <f t="shared" si="6"/>
        <v>[temple]80[/temple]</v>
      </c>
      <c r="M20" s="7" t="str">
        <f t="shared" si="7"/>
        <v>#REF!</v>
      </c>
      <c r="N20" s="7">
        <f t="shared" ref="N20:O20" si="25">B20-500</f>
        <v>93</v>
      </c>
      <c r="O20" s="7">
        <f t="shared" si="25"/>
        <v>176</v>
      </c>
    </row>
    <row r="21">
      <c r="A21" s="1">
        <v>72.0</v>
      </c>
      <c r="B21" s="2">
        <v>461.0</v>
      </c>
      <c r="C21" s="2">
        <v>696.0</v>
      </c>
      <c r="D21" s="2" t="s">
        <v>47</v>
      </c>
      <c r="E21" s="5">
        <v>46.0</v>
      </c>
      <c r="F21" s="2" t="s">
        <v>22</v>
      </c>
      <c r="H21" s="6" t="str">
        <f t="shared" si="2"/>
        <v>#REF!</v>
      </c>
      <c r="I21" s="7" t="str">
        <f t="shared" si="3"/>
        <v>#REF!</v>
      </c>
      <c r="J21" s="7" t="str">
        <f t="shared" si="4"/>
        <v>#REF!</v>
      </c>
      <c r="K21" s="8" t="str">
        <f t="shared" si="5"/>
        <v>#REF!</v>
      </c>
      <c r="L21" s="9" t="str">
        <f t="shared" si="6"/>
        <v>[temple]72[/temple]</v>
      </c>
      <c r="M21" s="7" t="str">
        <f t="shared" si="7"/>
        <v>#REF!</v>
      </c>
      <c r="N21" s="7">
        <f t="shared" ref="N21:O21" si="26">B21-500</f>
        <v>-39</v>
      </c>
      <c r="O21" s="7">
        <f t="shared" si="26"/>
        <v>196</v>
      </c>
    </row>
    <row r="22">
      <c r="A22" s="1">
        <v>61.0</v>
      </c>
      <c r="B22" s="2">
        <v>667.0</v>
      </c>
      <c r="C22" s="2">
        <v>458.0</v>
      </c>
      <c r="D22" s="2" t="s">
        <v>48</v>
      </c>
      <c r="E22" s="5">
        <v>64.0</v>
      </c>
      <c r="F22" s="2" t="s">
        <v>49</v>
      </c>
      <c r="H22" s="6" t="str">
        <f t="shared" si="2"/>
        <v>#REF!</v>
      </c>
      <c r="I22" s="7" t="str">
        <f t="shared" si="3"/>
        <v>#REF!</v>
      </c>
      <c r="J22" s="7" t="str">
        <f t="shared" si="4"/>
        <v>#REF!</v>
      </c>
      <c r="K22" s="8" t="str">
        <f t="shared" si="5"/>
        <v>#REF!</v>
      </c>
      <c r="L22" s="9" t="str">
        <f t="shared" si="6"/>
        <v>[temple]61[/temple]</v>
      </c>
      <c r="M22" s="7" t="str">
        <f t="shared" si="7"/>
        <v>#REF!</v>
      </c>
      <c r="N22" s="7">
        <f t="shared" ref="N22:O22" si="27">B22-500</f>
        <v>167</v>
      </c>
      <c r="O22" s="7">
        <f t="shared" si="27"/>
        <v>-42</v>
      </c>
    </row>
    <row r="23">
      <c r="A23" s="1">
        <v>81.0</v>
      </c>
      <c r="B23" s="2">
        <v>362.0</v>
      </c>
      <c r="C23" s="2">
        <v>355.0</v>
      </c>
      <c r="D23" s="2" t="s">
        <v>50</v>
      </c>
      <c r="E23" s="5">
        <v>33.0</v>
      </c>
      <c r="F23" s="2" t="s">
        <v>18</v>
      </c>
      <c r="H23" s="6" t="str">
        <f t="shared" si="2"/>
        <v>#REF!</v>
      </c>
      <c r="I23" s="7" t="str">
        <f t="shared" si="3"/>
        <v>#REF!</v>
      </c>
      <c r="J23" s="7" t="str">
        <f t="shared" si="4"/>
        <v>#REF!</v>
      </c>
      <c r="K23" s="8" t="str">
        <f t="shared" si="5"/>
        <v>#REF!</v>
      </c>
      <c r="L23" s="9" t="str">
        <f t="shared" si="6"/>
        <v>[temple]81[/temple]</v>
      </c>
      <c r="M23" s="7" t="str">
        <f t="shared" si="7"/>
        <v>#REF!</v>
      </c>
      <c r="N23" s="7">
        <f t="shared" ref="N23:O23" si="28">B23-500</f>
        <v>-138</v>
      </c>
      <c r="O23" s="7">
        <f t="shared" si="28"/>
        <v>-145</v>
      </c>
    </row>
    <row r="24">
      <c r="A24" s="1">
        <v>55.0</v>
      </c>
      <c r="B24" s="2">
        <v>654.0</v>
      </c>
      <c r="C24" s="2">
        <v>424.0</v>
      </c>
      <c r="D24" s="2" t="s">
        <v>51</v>
      </c>
      <c r="E24" s="5">
        <v>64.0</v>
      </c>
      <c r="F24" s="2" t="s">
        <v>52</v>
      </c>
      <c r="H24" s="6" t="str">
        <f t="shared" si="2"/>
        <v>#REF!</v>
      </c>
      <c r="I24" s="7" t="str">
        <f t="shared" si="3"/>
        <v>#REF!</v>
      </c>
      <c r="J24" s="7" t="str">
        <f t="shared" si="4"/>
        <v>#REF!</v>
      </c>
      <c r="K24" s="8" t="str">
        <f t="shared" si="5"/>
        <v>#REF!</v>
      </c>
      <c r="L24" s="9" t="str">
        <f t="shared" si="6"/>
        <v>[temple]55[/temple]</v>
      </c>
      <c r="M24" s="7" t="str">
        <f t="shared" si="7"/>
        <v>#REF!</v>
      </c>
      <c r="N24" s="7">
        <f t="shared" ref="N24:O24" si="29">B24-500</f>
        <v>154</v>
      </c>
      <c r="O24" s="7">
        <f t="shared" si="29"/>
        <v>-76</v>
      </c>
    </row>
    <row r="25">
      <c r="A25" s="1">
        <v>76.0</v>
      </c>
      <c r="B25" s="2">
        <v>690.0</v>
      </c>
      <c r="C25" s="2">
        <v>564.0</v>
      </c>
      <c r="D25" s="2" t="s">
        <v>53</v>
      </c>
      <c r="E25" s="5">
        <v>65.0</v>
      </c>
      <c r="F25" s="2" t="s">
        <v>54</v>
      </c>
      <c r="H25" s="6" t="str">
        <f t="shared" si="2"/>
        <v>#REF!</v>
      </c>
      <c r="I25" s="7" t="str">
        <f t="shared" si="3"/>
        <v>#REF!</v>
      </c>
      <c r="J25" s="7" t="str">
        <f t="shared" si="4"/>
        <v>#REF!</v>
      </c>
      <c r="K25" s="8" t="str">
        <f t="shared" si="5"/>
        <v>#REF!</v>
      </c>
      <c r="L25" s="9" t="str">
        <f t="shared" si="6"/>
        <v>[temple]76[/temple]</v>
      </c>
      <c r="M25" s="7" t="str">
        <f t="shared" si="7"/>
        <v>#REF!</v>
      </c>
      <c r="N25" s="7">
        <f t="shared" ref="N25:O25" si="30">B25-500</f>
        <v>190</v>
      </c>
      <c r="O25" s="7">
        <f t="shared" si="30"/>
        <v>64</v>
      </c>
    </row>
    <row r="26">
      <c r="A26" s="1">
        <v>60.0</v>
      </c>
      <c r="B26" s="2">
        <v>334.0</v>
      </c>
      <c r="C26" s="2">
        <v>543.0</v>
      </c>
      <c r="D26" s="2" t="s">
        <v>55</v>
      </c>
      <c r="E26" s="5">
        <v>35.0</v>
      </c>
      <c r="F26" s="2" t="s">
        <v>20</v>
      </c>
      <c r="H26" s="6" t="str">
        <f t="shared" si="2"/>
        <v>#REF!</v>
      </c>
      <c r="I26" s="7" t="str">
        <f t="shared" si="3"/>
        <v>#REF!</v>
      </c>
      <c r="J26" s="7" t="str">
        <f t="shared" si="4"/>
        <v>#REF!</v>
      </c>
      <c r="K26" s="8" t="str">
        <f t="shared" si="5"/>
        <v>#REF!</v>
      </c>
      <c r="L26" s="9" t="str">
        <f t="shared" si="6"/>
        <v>[temple]60[/temple]</v>
      </c>
      <c r="M26" s="7" t="str">
        <f t="shared" si="7"/>
        <v>#REF!</v>
      </c>
      <c r="N26" s="7">
        <f t="shared" ref="N26:O26" si="31">B26-500</f>
        <v>-166</v>
      </c>
      <c r="O26" s="7">
        <f t="shared" si="31"/>
        <v>43</v>
      </c>
    </row>
    <row r="27">
      <c r="A27" s="1">
        <v>67.0</v>
      </c>
      <c r="B27" s="2">
        <v>304.0</v>
      </c>
      <c r="C27" s="2">
        <v>544.0</v>
      </c>
      <c r="D27" s="2" t="s">
        <v>56</v>
      </c>
      <c r="E27" s="5">
        <v>35.0</v>
      </c>
      <c r="F27" s="2" t="s">
        <v>22</v>
      </c>
      <c r="H27" s="6" t="str">
        <f t="shared" si="2"/>
        <v>#REF!</v>
      </c>
      <c r="I27" s="7" t="str">
        <f t="shared" si="3"/>
        <v>#REF!</v>
      </c>
      <c r="J27" s="7" t="str">
        <f t="shared" si="4"/>
        <v>#REF!</v>
      </c>
      <c r="K27" s="8" t="str">
        <f t="shared" si="5"/>
        <v>#REF!</v>
      </c>
      <c r="L27" s="9" t="str">
        <f t="shared" si="6"/>
        <v>[temple]67[/temple]</v>
      </c>
      <c r="M27" s="7" t="str">
        <f t="shared" si="7"/>
        <v>#REF!</v>
      </c>
      <c r="N27" s="7">
        <f t="shared" ref="N27:O27" si="32">B27-500</f>
        <v>-196</v>
      </c>
      <c r="O27" s="7">
        <f t="shared" si="32"/>
        <v>44</v>
      </c>
    </row>
    <row r="28">
      <c r="A28" s="1">
        <v>75.0</v>
      </c>
      <c r="B28" s="2">
        <v>634.0</v>
      </c>
      <c r="C28" s="2">
        <v>650.0</v>
      </c>
      <c r="D28" s="2" t="s">
        <v>57</v>
      </c>
      <c r="E28" s="5">
        <v>66.0</v>
      </c>
      <c r="F28" s="2" t="s">
        <v>49</v>
      </c>
      <c r="H28" s="6" t="str">
        <f t="shared" si="2"/>
        <v>#REF!</v>
      </c>
      <c r="I28" s="7" t="str">
        <f t="shared" si="3"/>
        <v>#REF!</v>
      </c>
      <c r="J28" s="7" t="str">
        <f t="shared" si="4"/>
        <v>#REF!</v>
      </c>
      <c r="K28" s="8" t="str">
        <f t="shared" si="5"/>
        <v>#REF!</v>
      </c>
      <c r="L28" s="9" t="str">
        <f t="shared" si="6"/>
        <v>[temple]75[/temple]</v>
      </c>
      <c r="M28" s="7" t="str">
        <f t="shared" si="7"/>
        <v>#REF!</v>
      </c>
      <c r="N28" s="7">
        <f t="shared" ref="N28:O28" si="33">B28-500</f>
        <v>134</v>
      </c>
      <c r="O28" s="7">
        <f t="shared" si="33"/>
        <v>150</v>
      </c>
    </row>
    <row r="29">
      <c r="A29" s="1">
        <v>73.0</v>
      </c>
      <c r="B29" s="2">
        <v>326.0</v>
      </c>
      <c r="C29" s="2">
        <v>602.0</v>
      </c>
      <c r="D29" s="2" t="s">
        <v>58</v>
      </c>
      <c r="E29" s="5">
        <v>36.0</v>
      </c>
      <c r="F29" s="2" t="s">
        <v>18</v>
      </c>
      <c r="H29" s="6" t="str">
        <f t="shared" si="2"/>
        <v>#REF!</v>
      </c>
      <c r="I29" s="7" t="str">
        <f t="shared" si="3"/>
        <v>#REF!</v>
      </c>
      <c r="J29" s="7" t="str">
        <f t="shared" si="4"/>
        <v>#REF!</v>
      </c>
      <c r="K29" s="8" t="str">
        <f t="shared" si="5"/>
        <v>#REF!</v>
      </c>
      <c r="L29" s="9" t="str">
        <f t="shared" si="6"/>
        <v>[temple]73[/temple]</v>
      </c>
      <c r="M29" s="7" t="str">
        <f t="shared" si="7"/>
        <v>#REF!</v>
      </c>
      <c r="N29" s="7">
        <f t="shared" ref="N29:O29" si="34">B29-500</f>
        <v>-174</v>
      </c>
      <c r="O29" s="7">
        <f t="shared" si="34"/>
        <v>102</v>
      </c>
    </row>
    <row r="30">
      <c r="A30" s="1">
        <v>52.0</v>
      </c>
      <c r="B30" s="2">
        <v>361.0</v>
      </c>
      <c r="C30" s="2">
        <v>404.0</v>
      </c>
      <c r="D30" s="2" t="s">
        <v>59</v>
      </c>
      <c r="E30" s="5">
        <v>34.0</v>
      </c>
      <c r="F30" s="2" t="s">
        <v>60</v>
      </c>
      <c r="H30" s="6" t="str">
        <f t="shared" si="2"/>
        <v>#REF!</v>
      </c>
      <c r="I30" s="7" t="str">
        <f t="shared" si="3"/>
        <v>#REF!</v>
      </c>
      <c r="J30" s="7" t="str">
        <f t="shared" si="4"/>
        <v>#REF!</v>
      </c>
      <c r="K30" s="8" t="str">
        <f t="shared" si="5"/>
        <v>#REF!</v>
      </c>
      <c r="L30" s="9" t="str">
        <f t="shared" si="6"/>
        <v>[temple]52[/temple]</v>
      </c>
      <c r="M30" s="7" t="str">
        <f t="shared" si="7"/>
        <v>#REF!</v>
      </c>
      <c r="N30" s="7">
        <f t="shared" ref="N30:O30" si="35">B30-500</f>
        <v>-139</v>
      </c>
      <c r="O30" s="7">
        <f t="shared" si="35"/>
        <v>-96</v>
      </c>
    </row>
    <row r="31">
      <c r="A31" s="1">
        <v>58.0</v>
      </c>
      <c r="B31" s="2">
        <v>346.0</v>
      </c>
      <c r="C31" s="2">
        <v>431.0</v>
      </c>
      <c r="D31" s="2" t="s">
        <v>61</v>
      </c>
      <c r="E31" s="5">
        <v>34.0</v>
      </c>
      <c r="F31" s="2" t="s">
        <v>34</v>
      </c>
      <c r="H31" s="6" t="str">
        <f t="shared" si="2"/>
        <v>#REF!</v>
      </c>
      <c r="I31" s="7" t="str">
        <f t="shared" si="3"/>
        <v>#REF!</v>
      </c>
      <c r="J31" s="7" t="str">
        <f t="shared" si="4"/>
        <v>#REF!</v>
      </c>
      <c r="K31" s="8" t="str">
        <f t="shared" si="5"/>
        <v>#REF!</v>
      </c>
      <c r="L31" s="9" t="str">
        <f t="shared" si="6"/>
        <v>[temple]58[/temple]</v>
      </c>
      <c r="M31" s="7" t="str">
        <f t="shared" si="7"/>
        <v>#REF!</v>
      </c>
      <c r="N31" s="7">
        <f t="shared" ref="N31:O31" si="36">B31-500</f>
        <v>-154</v>
      </c>
      <c r="O31" s="7">
        <f t="shared" si="36"/>
        <v>-69</v>
      </c>
    </row>
    <row r="32">
      <c r="A32" s="1">
        <v>95.0</v>
      </c>
      <c r="B32" s="2">
        <v>701.0</v>
      </c>
      <c r="C32" s="2">
        <v>542.0</v>
      </c>
      <c r="D32" s="2" t="s">
        <v>62</v>
      </c>
      <c r="E32" s="5">
        <v>75.0</v>
      </c>
      <c r="F32" s="2" t="s">
        <v>18</v>
      </c>
      <c r="H32" s="6" t="str">
        <f t="shared" si="2"/>
        <v>#REF!</v>
      </c>
      <c r="I32" s="7" t="str">
        <f t="shared" si="3"/>
        <v>#REF!</v>
      </c>
      <c r="J32" s="7" t="str">
        <f t="shared" si="4"/>
        <v>#REF!</v>
      </c>
      <c r="K32" s="8" t="str">
        <f t="shared" si="5"/>
        <v>#REF!</v>
      </c>
      <c r="L32" s="9" t="str">
        <f t="shared" si="6"/>
        <v>[temple]95[/temple]</v>
      </c>
      <c r="M32" s="7" t="str">
        <f t="shared" si="7"/>
        <v>#REF!</v>
      </c>
      <c r="N32" s="7">
        <f t="shared" ref="N32:O32" si="37">B32-500</f>
        <v>201</v>
      </c>
      <c r="O32" s="7">
        <f t="shared" si="37"/>
        <v>42</v>
      </c>
    </row>
    <row r="33">
      <c r="A33" s="1">
        <v>98.0</v>
      </c>
      <c r="B33" s="2">
        <v>341.0</v>
      </c>
      <c r="C33" s="2">
        <v>630.0</v>
      </c>
      <c r="D33" s="2" t="s">
        <v>63</v>
      </c>
      <c r="E33" s="5">
        <v>36.0</v>
      </c>
      <c r="F33" s="2" t="s">
        <v>64</v>
      </c>
      <c r="H33" s="6" t="str">
        <f t="shared" si="2"/>
        <v>#REF!</v>
      </c>
      <c r="I33" s="7" t="str">
        <f t="shared" si="3"/>
        <v>#REF!</v>
      </c>
      <c r="J33" s="7" t="str">
        <f t="shared" si="4"/>
        <v>#REF!</v>
      </c>
      <c r="K33" s="8" t="str">
        <f t="shared" si="5"/>
        <v>#REF!</v>
      </c>
      <c r="L33" s="9" t="str">
        <f t="shared" si="6"/>
        <v>[temple]98[/temple]</v>
      </c>
      <c r="M33" s="7" t="str">
        <f t="shared" si="7"/>
        <v>#REF!</v>
      </c>
      <c r="N33" s="7">
        <f t="shared" ref="N33:O33" si="38">B33-500</f>
        <v>-159</v>
      </c>
      <c r="O33" s="7">
        <f t="shared" si="38"/>
        <v>130</v>
      </c>
    </row>
    <row r="34">
      <c r="A34" s="1">
        <v>51.0</v>
      </c>
      <c r="B34" s="2">
        <v>335.0</v>
      </c>
      <c r="C34" s="2">
        <v>519.0</v>
      </c>
      <c r="D34" s="2" t="s">
        <v>65</v>
      </c>
      <c r="E34" s="5">
        <v>35.0</v>
      </c>
      <c r="F34" s="2" t="s">
        <v>18</v>
      </c>
      <c r="H34" s="6" t="str">
        <f t="shared" si="2"/>
        <v>#REF!</v>
      </c>
      <c r="I34" s="7" t="str">
        <f t="shared" si="3"/>
        <v>#REF!</v>
      </c>
      <c r="J34" s="7" t="str">
        <f t="shared" si="4"/>
        <v>#REF!</v>
      </c>
      <c r="K34" s="8" t="str">
        <f t="shared" si="5"/>
        <v>#REF!</v>
      </c>
      <c r="L34" s="9" t="str">
        <f t="shared" si="6"/>
        <v>[temple]51[/temple]</v>
      </c>
      <c r="M34" s="7" t="str">
        <f t="shared" si="7"/>
        <v>#REF!</v>
      </c>
      <c r="N34" s="7">
        <f t="shared" ref="N34:O34" si="39">B34-500</f>
        <v>-165</v>
      </c>
      <c r="O34" s="7">
        <f t="shared" si="39"/>
        <v>19</v>
      </c>
    </row>
    <row r="35">
      <c r="A35" s="1">
        <v>96.0</v>
      </c>
      <c r="B35" s="2">
        <v>519.0</v>
      </c>
      <c r="C35" s="2">
        <v>706.0</v>
      </c>
      <c r="D35" s="2" t="s">
        <v>66</v>
      </c>
      <c r="E35" s="5">
        <v>57.0</v>
      </c>
      <c r="F35" s="2" t="s">
        <v>40</v>
      </c>
      <c r="H35" s="6" t="str">
        <f t="shared" si="2"/>
        <v>#REF!</v>
      </c>
      <c r="I35" s="7" t="str">
        <f t="shared" si="3"/>
        <v>#REF!</v>
      </c>
      <c r="J35" s="7" t="str">
        <f t="shared" si="4"/>
        <v>#REF!</v>
      </c>
      <c r="K35" s="8" t="str">
        <f t="shared" si="5"/>
        <v>#REF!</v>
      </c>
      <c r="L35" s="9" t="str">
        <f t="shared" si="6"/>
        <v>[temple]96[/temple]</v>
      </c>
      <c r="M35" s="7" t="str">
        <f t="shared" si="7"/>
        <v>#REF!</v>
      </c>
      <c r="N35" s="7">
        <f t="shared" ref="N35:O35" si="40">B35-500</f>
        <v>19</v>
      </c>
      <c r="O35" s="7">
        <f t="shared" si="40"/>
        <v>206</v>
      </c>
    </row>
    <row r="36">
      <c r="A36" s="1">
        <v>90.0</v>
      </c>
      <c r="B36" s="2">
        <v>680.0</v>
      </c>
      <c r="C36" s="2">
        <v>396.0</v>
      </c>
      <c r="D36" s="2" t="s">
        <v>67</v>
      </c>
      <c r="E36" s="5">
        <v>63.0</v>
      </c>
      <c r="F36" s="2" t="s">
        <v>24</v>
      </c>
      <c r="H36" s="6" t="str">
        <f t="shared" si="2"/>
        <v>#REF!</v>
      </c>
      <c r="I36" s="7" t="str">
        <f t="shared" si="3"/>
        <v>#REF!</v>
      </c>
      <c r="J36" s="7" t="str">
        <f t="shared" si="4"/>
        <v>#REF!</v>
      </c>
      <c r="K36" s="8" t="str">
        <f t="shared" si="5"/>
        <v>#REF!</v>
      </c>
      <c r="L36" s="9" t="str">
        <f t="shared" si="6"/>
        <v>[temple]90[/temple]</v>
      </c>
      <c r="M36" s="7" t="str">
        <f t="shared" si="7"/>
        <v>#REF!</v>
      </c>
      <c r="N36" s="7">
        <f t="shared" ref="N36:O36" si="41">B36-500</f>
        <v>180</v>
      </c>
      <c r="O36" s="7">
        <f t="shared" si="41"/>
        <v>-104</v>
      </c>
    </row>
    <row r="37">
      <c r="A37" s="1">
        <v>88.0</v>
      </c>
      <c r="B37" s="2">
        <v>367.0</v>
      </c>
      <c r="C37" s="2">
        <v>660.0</v>
      </c>
      <c r="D37" s="2" t="s">
        <v>68</v>
      </c>
      <c r="E37" s="5">
        <v>36.0</v>
      </c>
      <c r="F37" s="2" t="s">
        <v>24</v>
      </c>
      <c r="H37" s="6" t="str">
        <f t="shared" si="2"/>
        <v>#REF!</v>
      </c>
      <c r="I37" s="7" t="str">
        <f t="shared" si="3"/>
        <v>#REF!</v>
      </c>
      <c r="J37" s="7" t="str">
        <f t="shared" si="4"/>
        <v>#REF!</v>
      </c>
      <c r="K37" s="8" t="str">
        <f t="shared" si="5"/>
        <v>#REF!</v>
      </c>
      <c r="L37" s="9" t="str">
        <f t="shared" si="6"/>
        <v>[temple]88[/temple]</v>
      </c>
      <c r="M37" s="7" t="str">
        <f t="shared" si="7"/>
        <v>#REF!</v>
      </c>
      <c r="N37" s="7">
        <f t="shared" ref="N37:O37" si="42">B37-500</f>
        <v>-133</v>
      </c>
      <c r="O37" s="7">
        <f t="shared" si="42"/>
        <v>160</v>
      </c>
    </row>
    <row r="38">
      <c r="A38" s="1">
        <v>92.0</v>
      </c>
      <c r="B38" s="2">
        <v>295.0</v>
      </c>
      <c r="C38" s="2">
        <v>462.0</v>
      </c>
      <c r="D38" s="2" t="s">
        <v>69</v>
      </c>
      <c r="E38" s="5">
        <v>24.0</v>
      </c>
      <c r="F38" s="2" t="s">
        <v>24</v>
      </c>
      <c r="H38" s="6" t="str">
        <f t="shared" si="2"/>
        <v>#REF!</v>
      </c>
      <c r="I38" s="7" t="str">
        <f t="shared" si="3"/>
        <v>#REF!</v>
      </c>
      <c r="J38" s="7" t="str">
        <f t="shared" si="4"/>
        <v>#REF!</v>
      </c>
      <c r="K38" s="8" t="str">
        <f t="shared" si="5"/>
        <v>#REF!</v>
      </c>
      <c r="L38" s="9" t="str">
        <f t="shared" si="6"/>
        <v>[temple]92[/temple]</v>
      </c>
      <c r="M38" s="7" t="str">
        <f t="shared" si="7"/>
        <v>#REF!</v>
      </c>
      <c r="N38" s="7">
        <f t="shared" ref="N38:O38" si="43">B38-500</f>
        <v>-205</v>
      </c>
      <c r="O38" s="7">
        <f t="shared" si="43"/>
        <v>-38</v>
      </c>
    </row>
    <row r="39">
      <c r="A39" s="1">
        <v>104.0</v>
      </c>
      <c r="B39" s="2">
        <v>436.0</v>
      </c>
      <c r="C39" s="2">
        <v>699.0</v>
      </c>
      <c r="D39" s="2" t="s">
        <v>70</v>
      </c>
      <c r="E39" s="5">
        <v>46.0</v>
      </c>
      <c r="F39" s="2" t="s">
        <v>71</v>
      </c>
      <c r="H39" s="6" t="str">
        <f t="shared" si="2"/>
        <v>#REF!</v>
      </c>
      <c r="I39" s="7" t="str">
        <f t="shared" si="3"/>
        <v>#REF!</v>
      </c>
      <c r="J39" s="7" t="str">
        <f t="shared" si="4"/>
        <v>#REF!</v>
      </c>
      <c r="K39" s="8" t="str">
        <f t="shared" si="5"/>
        <v>#REF!</v>
      </c>
      <c r="L39" s="9" t="str">
        <f t="shared" si="6"/>
        <v>[temple]104[/temple]</v>
      </c>
      <c r="M39" s="7" t="str">
        <f t="shared" si="7"/>
        <v>#REF!</v>
      </c>
      <c r="N39" s="7">
        <f t="shared" ref="N39:O39" si="44">B39-500</f>
        <v>-64</v>
      </c>
      <c r="O39" s="7">
        <f t="shared" si="44"/>
        <v>199</v>
      </c>
    </row>
    <row r="40">
      <c r="A40" s="1">
        <v>87.0</v>
      </c>
      <c r="B40" s="2">
        <v>708.0</v>
      </c>
      <c r="C40" s="2">
        <v>521.0</v>
      </c>
      <c r="D40" s="2" t="s">
        <v>72</v>
      </c>
      <c r="E40" s="5">
        <v>75.0</v>
      </c>
      <c r="F40" s="2" t="s">
        <v>73</v>
      </c>
      <c r="H40" s="6" t="str">
        <f t="shared" si="2"/>
        <v>#REF!</v>
      </c>
      <c r="I40" s="7" t="str">
        <f t="shared" si="3"/>
        <v>#REF!</v>
      </c>
      <c r="J40" s="7" t="str">
        <f t="shared" si="4"/>
        <v>#REF!</v>
      </c>
      <c r="K40" s="8" t="str">
        <f t="shared" si="5"/>
        <v>#REF!</v>
      </c>
      <c r="L40" s="9" t="str">
        <f t="shared" si="6"/>
        <v>[temple]87[/temple]</v>
      </c>
      <c r="M40" s="7" t="str">
        <f t="shared" si="7"/>
        <v>#REF!</v>
      </c>
      <c r="N40" s="7">
        <f t="shared" ref="N40:O40" si="45">B40-500</f>
        <v>208</v>
      </c>
      <c r="O40" s="7">
        <f t="shared" si="45"/>
        <v>21</v>
      </c>
    </row>
    <row r="41">
      <c r="A41" s="1">
        <v>56.0</v>
      </c>
      <c r="B41" s="2">
        <v>637.0</v>
      </c>
      <c r="C41" s="2">
        <v>413.0</v>
      </c>
      <c r="D41" s="2" t="s">
        <v>74</v>
      </c>
      <c r="E41" s="5">
        <v>64.0</v>
      </c>
      <c r="F41" s="2" t="s">
        <v>75</v>
      </c>
      <c r="H41" s="6" t="str">
        <f t="shared" si="2"/>
        <v>#REF!</v>
      </c>
      <c r="I41" s="7" t="str">
        <f t="shared" si="3"/>
        <v>#REF!</v>
      </c>
      <c r="J41" s="7" t="str">
        <f t="shared" si="4"/>
        <v>#REF!</v>
      </c>
      <c r="K41" s="8" t="str">
        <f t="shared" si="5"/>
        <v>#REF!</v>
      </c>
      <c r="L41" s="9" t="str">
        <f t="shared" si="6"/>
        <v>[temple]56[/temple]</v>
      </c>
      <c r="M41" s="7" t="str">
        <f t="shared" si="7"/>
        <v>#REF!</v>
      </c>
      <c r="N41" s="7">
        <f t="shared" ref="N41:O41" si="46">B41-500</f>
        <v>137</v>
      </c>
      <c r="O41" s="7">
        <f t="shared" si="46"/>
        <v>-87</v>
      </c>
    </row>
    <row r="42">
      <c r="A42" s="1">
        <v>53.0</v>
      </c>
      <c r="B42" s="2">
        <v>485.0</v>
      </c>
      <c r="C42" s="2">
        <v>339.0</v>
      </c>
      <c r="D42" s="2" t="s">
        <v>76</v>
      </c>
      <c r="E42" s="5">
        <v>43.0</v>
      </c>
      <c r="F42" s="2" t="s">
        <v>26</v>
      </c>
      <c r="H42" s="6" t="str">
        <f t="shared" si="2"/>
        <v>#REF!</v>
      </c>
      <c r="I42" s="7" t="str">
        <f t="shared" si="3"/>
        <v>#REF!</v>
      </c>
      <c r="J42" s="7" t="str">
        <f t="shared" si="4"/>
        <v>#REF!</v>
      </c>
      <c r="K42" s="8" t="str">
        <f t="shared" si="5"/>
        <v>#REF!</v>
      </c>
      <c r="L42" s="9" t="str">
        <f t="shared" si="6"/>
        <v>[temple]53[/temple]</v>
      </c>
      <c r="M42" s="7" t="str">
        <f t="shared" si="7"/>
        <v>#REF!</v>
      </c>
      <c r="N42" s="7">
        <f t="shared" ref="N42:O42" si="47">B42-500</f>
        <v>-15</v>
      </c>
      <c r="O42" s="7">
        <f t="shared" si="47"/>
        <v>-161</v>
      </c>
    </row>
    <row r="43">
      <c r="A43" s="1">
        <v>63.0</v>
      </c>
      <c r="B43" s="2">
        <v>611.0</v>
      </c>
      <c r="C43" s="2">
        <v>384.0</v>
      </c>
      <c r="D43" s="2" t="s">
        <v>77</v>
      </c>
      <c r="E43" s="5">
        <v>63.0</v>
      </c>
      <c r="F43" s="2" t="s">
        <v>78</v>
      </c>
      <c r="H43" s="6" t="str">
        <f t="shared" si="2"/>
        <v>#REF!</v>
      </c>
      <c r="I43" s="7" t="str">
        <f t="shared" si="3"/>
        <v>#REF!</v>
      </c>
      <c r="J43" s="7" t="str">
        <f t="shared" si="4"/>
        <v>#REF!</v>
      </c>
      <c r="K43" s="8" t="str">
        <f t="shared" si="5"/>
        <v>#REF!</v>
      </c>
      <c r="L43" s="9" t="str">
        <f t="shared" si="6"/>
        <v>[temple]63[/temple]</v>
      </c>
      <c r="M43" s="7" t="str">
        <f t="shared" si="7"/>
        <v>#REF!</v>
      </c>
      <c r="N43" s="7">
        <f t="shared" ref="N43:O43" si="48">B43-500</f>
        <v>111</v>
      </c>
      <c r="O43" s="7">
        <f t="shared" si="48"/>
        <v>-116</v>
      </c>
    </row>
    <row r="44">
      <c r="A44" s="1">
        <v>94.0</v>
      </c>
      <c r="B44" s="2">
        <v>658.0</v>
      </c>
      <c r="C44" s="2">
        <v>642.0</v>
      </c>
      <c r="D44" s="2" t="s">
        <v>79</v>
      </c>
      <c r="E44" s="5">
        <v>66.0</v>
      </c>
      <c r="F44" s="2" t="s">
        <v>73</v>
      </c>
      <c r="H44" s="6" t="str">
        <f t="shared" si="2"/>
        <v>#REF!</v>
      </c>
      <c r="I44" s="7" t="str">
        <f t="shared" si="3"/>
        <v>#REF!</v>
      </c>
      <c r="J44" s="7" t="str">
        <f t="shared" si="4"/>
        <v>#REF!</v>
      </c>
      <c r="K44" s="8" t="str">
        <f t="shared" si="5"/>
        <v>#REF!</v>
      </c>
      <c r="L44" s="9" t="str">
        <f t="shared" si="6"/>
        <v>[temple]94[/temple]</v>
      </c>
      <c r="M44" s="7" t="str">
        <f t="shared" si="7"/>
        <v>#REF!</v>
      </c>
      <c r="N44" s="7">
        <f t="shared" ref="N44:O44" si="49">B44-500</f>
        <v>158</v>
      </c>
      <c r="O44" s="7">
        <f t="shared" si="49"/>
        <v>142</v>
      </c>
    </row>
    <row r="45">
      <c r="A45" s="1">
        <v>99.0</v>
      </c>
      <c r="B45" s="2">
        <v>552.0</v>
      </c>
      <c r="C45" s="2">
        <v>707.0</v>
      </c>
      <c r="D45" s="2" t="s">
        <v>80</v>
      </c>
      <c r="E45" s="5">
        <v>57.0</v>
      </c>
      <c r="F45" s="2" t="s">
        <v>75</v>
      </c>
      <c r="H45" s="6" t="str">
        <f t="shared" si="2"/>
        <v>#REF!</v>
      </c>
      <c r="I45" s="7" t="str">
        <f t="shared" si="3"/>
        <v>#REF!</v>
      </c>
      <c r="J45" s="7" t="str">
        <f t="shared" si="4"/>
        <v>#REF!</v>
      </c>
      <c r="K45" s="8" t="str">
        <f t="shared" si="5"/>
        <v>#REF!</v>
      </c>
      <c r="L45" s="9" t="str">
        <f t="shared" si="6"/>
        <v>[temple]99[/temple]</v>
      </c>
      <c r="M45" s="7" t="str">
        <f t="shared" si="7"/>
        <v>#REF!</v>
      </c>
      <c r="N45" s="7">
        <f t="shared" ref="N45:O45" si="50">B45-500</f>
        <v>52</v>
      </c>
      <c r="O45" s="7">
        <f t="shared" si="50"/>
        <v>207</v>
      </c>
    </row>
    <row r="46">
      <c r="A46" s="1">
        <v>45.0</v>
      </c>
      <c r="B46" s="2">
        <v>557.0</v>
      </c>
      <c r="C46" s="2">
        <v>354.0</v>
      </c>
      <c r="D46" s="2" t="s">
        <v>81</v>
      </c>
      <c r="E46" s="5">
        <v>53.0</v>
      </c>
      <c r="F46" s="2" t="s">
        <v>22</v>
      </c>
      <c r="H46" s="6" t="str">
        <f t="shared" si="2"/>
        <v>#REF!</v>
      </c>
      <c r="I46" s="7" t="str">
        <f t="shared" si="3"/>
        <v>#REF!</v>
      </c>
      <c r="J46" s="7" t="str">
        <f t="shared" si="4"/>
        <v>#REF!</v>
      </c>
      <c r="K46" s="8" t="str">
        <f t="shared" si="5"/>
        <v>#REF!</v>
      </c>
      <c r="L46" s="9" t="str">
        <f t="shared" si="6"/>
        <v>[temple]45[/temple]</v>
      </c>
      <c r="M46" s="7" t="str">
        <f t="shared" si="7"/>
        <v>#REF!</v>
      </c>
      <c r="N46" s="7">
        <f t="shared" ref="N46:O46" si="51">B46-500</f>
        <v>57</v>
      </c>
      <c r="O46" s="7">
        <f t="shared" si="51"/>
        <v>-146</v>
      </c>
    </row>
    <row r="47">
      <c r="A47" s="1">
        <v>97.0</v>
      </c>
      <c r="B47" s="2">
        <v>629.0</v>
      </c>
      <c r="C47" s="2">
        <v>327.0</v>
      </c>
      <c r="D47" s="2" t="s">
        <v>82</v>
      </c>
      <c r="E47" s="5">
        <v>63.0</v>
      </c>
      <c r="F47" s="2" t="s">
        <v>83</v>
      </c>
      <c r="H47" s="6" t="str">
        <f t="shared" si="2"/>
        <v>#REF!</v>
      </c>
      <c r="I47" s="7" t="str">
        <f t="shared" si="3"/>
        <v>#REF!</v>
      </c>
      <c r="J47" s="7" t="str">
        <f t="shared" si="4"/>
        <v>#REF!</v>
      </c>
      <c r="K47" s="8" t="str">
        <f t="shared" si="5"/>
        <v>#REF!</v>
      </c>
      <c r="L47" s="9" t="str">
        <f t="shared" si="6"/>
        <v>[temple]97[/temple]</v>
      </c>
      <c r="M47" s="7" t="str">
        <f t="shared" si="7"/>
        <v>#REF!</v>
      </c>
      <c r="N47" s="7">
        <f t="shared" ref="N47:O47" si="52">B47-500</f>
        <v>129</v>
      </c>
      <c r="O47" s="7">
        <f t="shared" si="52"/>
        <v>-173</v>
      </c>
    </row>
    <row r="48">
      <c r="A48" s="1">
        <v>41.0</v>
      </c>
      <c r="B48" s="2">
        <v>347.0</v>
      </c>
      <c r="C48" s="2">
        <v>474.0</v>
      </c>
      <c r="D48" s="2" t="s">
        <v>84</v>
      </c>
      <c r="E48" s="5">
        <v>34.0</v>
      </c>
      <c r="F48" s="2" t="s">
        <v>64</v>
      </c>
      <c r="H48" s="6" t="str">
        <f t="shared" si="2"/>
        <v>#REF!</v>
      </c>
      <c r="I48" s="7" t="str">
        <f t="shared" si="3"/>
        <v>#REF!</v>
      </c>
      <c r="J48" s="7" t="str">
        <f t="shared" si="4"/>
        <v>#REF!</v>
      </c>
      <c r="K48" s="8" t="str">
        <f t="shared" si="5"/>
        <v>#REF!</v>
      </c>
      <c r="L48" s="9" t="str">
        <f t="shared" si="6"/>
        <v>[temple]41[/temple]</v>
      </c>
      <c r="M48" s="7" t="str">
        <f t="shared" si="7"/>
        <v>#REF!</v>
      </c>
      <c r="N48" s="7">
        <f t="shared" ref="N48:O48" si="53">B48-500</f>
        <v>-153</v>
      </c>
      <c r="O48" s="7">
        <f t="shared" si="53"/>
        <v>-26</v>
      </c>
    </row>
    <row r="49">
      <c r="A49" s="1">
        <v>43.0</v>
      </c>
      <c r="B49" s="2">
        <v>562.0</v>
      </c>
      <c r="C49" s="2">
        <v>642.0</v>
      </c>
      <c r="D49" s="2" t="s">
        <v>85</v>
      </c>
      <c r="E49" s="5">
        <v>56.0</v>
      </c>
      <c r="F49" s="2" t="s">
        <v>86</v>
      </c>
      <c r="H49" s="6" t="str">
        <f t="shared" si="2"/>
        <v>#REF!</v>
      </c>
      <c r="I49" s="7" t="str">
        <f t="shared" si="3"/>
        <v>#REF!</v>
      </c>
      <c r="J49" s="7" t="str">
        <f t="shared" si="4"/>
        <v>#REF!</v>
      </c>
      <c r="K49" s="8" t="str">
        <f t="shared" si="5"/>
        <v>#REF!</v>
      </c>
      <c r="L49" s="9" t="str">
        <f t="shared" si="6"/>
        <v>[temple]43[/temple]</v>
      </c>
      <c r="M49" s="7" t="str">
        <f t="shared" si="7"/>
        <v>#REF!</v>
      </c>
      <c r="N49" s="7">
        <f t="shared" ref="N49:O49" si="54">B49-500</f>
        <v>62</v>
      </c>
      <c r="O49" s="7">
        <f t="shared" si="54"/>
        <v>142</v>
      </c>
    </row>
    <row r="50">
      <c r="A50" s="1">
        <v>44.0</v>
      </c>
      <c r="B50" s="2">
        <v>581.0</v>
      </c>
      <c r="C50" s="2">
        <v>631.0</v>
      </c>
      <c r="D50" s="2" t="s">
        <v>87</v>
      </c>
      <c r="E50" s="5">
        <v>56.0</v>
      </c>
      <c r="F50" s="2" t="s">
        <v>88</v>
      </c>
      <c r="H50" s="6" t="str">
        <f t="shared" si="2"/>
        <v>#REF!</v>
      </c>
      <c r="I50" s="7" t="str">
        <f t="shared" si="3"/>
        <v>#REF!</v>
      </c>
      <c r="J50" s="7" t="str">
        <f t="shared" si="4"/>
        <v>#REF!</v>
      </c>
      <c r="K50" s="8" t="str">
        <f t="shared" si="5"/>
        <v>#REF!</v>
      </c>
      <c r="L50" s="9" t="str">
        <f t="shared" si="6"/>
        <v>[temple]44[/temple]</v>
      </c>
      <c r="M50" s="7" t="str">
        <f t="shared" si="7"/>
        <v>#REF!</v>
      </c>
      <c r="N50" s="7">
        <f t="shared" ref="N50:O50" si="55">B50-500</f>
        <v>81</v>
      </c>
      <c r="O50" s="7">
        <f t="shared" si="55"/>
        <v>131</v>
      </c>
    </row>
    <row r="51">
      <c r="A51" s="1">
        <v>38.0</v>
      </c>
      <c r="B51" s="2">
        <v>434.0</v>
      </c>
      <c r="C51" s="2">
        <v>639.0</v>
      </c>
      <c r="D51" s="2" t="s">
        <v>89</v>
      </c>
      <c r="E51" s="5">
        <v>46.0</v>
      </c>
      <c r="F51" s="2" t="s">
        <v>40</v>
      </c>
      <c r="H51" s="6" t="str">
        <f t="shared" si="2"/>
        <v>#REF!</v>
      </c>
      <c r="I51" s="7" t="str">
        <f t="shared" si="3"/>
        <v>#REF!</v>
      </c>
      <c r="J51" s="7" t="str">
        <f t="shared" si="4"/>
        <v>#REF!</v>
      </c>
      <c r="K51" s="8" t="str">
        <f t="shared" si="5"/>
        <v>#REF!</v>
      </c>
      <c r="L51" s="9" t="str">
        <f t="shared" si="6"/>
        <v>[temple]38[/temple]</v>
      </c>
      <c r="M51" s="7" t="str">
        <f t="shared" si="7"/>
        <v>#REF!</v>
      </c>
      <c r="N51" s="7">
        <f t="shared" ref="N51:O51" si="56">B51-500</f>
        <v>-66</v>
      </c>
      <c r="O51" s="7">
        <f t="shared" si="56"/>
        <v>139</v>
      </c>
    </row>
    <row r="52">
      <c r="A52" s="1">
        <v>37.0</v>
      </c>
      <c r="B52" s="2">
        <v>393.0</v>
      </c>
      <c r="C52" s="2">
        <v>610.0</v>
      </c>
      <c r="D52" s="1" t="s">
        <v>90</v>
      </c>
      <c r="E52" s="5">
        <v>36.0</v>
      </c>
      <c r="F52" s="2" t="s">
        <v>64</v>
      </c>
      <c r="H52" s="6" t="str">
        <f t="shared" si="2"/>
        <v>#REF!</v>
      </c>
      <c r="I52" s="7" t="str">
        <f t="shared" si="3"/>
        <v>#REF!</v>
      </c>
      <c r="J52" s="7" t="str">
        <f t="shared" si="4"/>
        <v>#REF!</v>
      </c>
      <c r="K52" s="8" t="str">
        <f t="shared" si="5"/>
        <v>#REF!</v>
      </c>
      <c r="L52" s="9" t="str">
        <f t="shared" si="6"/>
        <v>[temple]37[/temple]</v>
      </c>
      <c r="M52" s="7" t="str">
        <f t="shared" si="7"/>
        <v>#REF!</v>
      </c>
      <c r="N52" s="7">
        <f t="shared" ref="N52:O52" si="57">B52-500</f>
        <v>-107</v>
      </c>
      <c r="O52" s="7">
        <f t="shared" si="57"/>
        <v>110</v>
      </c>
    </row>
    <row r="53">
      <c r="A53" s="1">
        <v>89.0</v>
      </c>
      <c r="B53" s="2">
        <v>291.0</v>
      </c>
      <c r="C53" s="2">
        <v>435.0</v>
      </c>
      <c r="D53" s="2" t="s">
        <v>91</v>
      </c>
      <c r="E53" s="5">
        <v>24.0</v>
      </c>
      <c r="F53" s="2" t="s">
        <v>18</v>
      </c>
      <c r="H53" s="6" t="str">
        <f t="shared" si="2"/>
        <v>#REF!</v>
      </c>
      <c r="I53" s="7" t="str">
        <f t="shared" si="3"/>
        <v>#REF!</v>
      </c>
      <c r="J53" s="7" t="str">
        <f t="shared" si="4"/>
        <v>#REF!</v>
      </c>
      <c r="K53" s="8" t="str">
        <f t="shared" si="5"/>
        <v>#REF!</v>
      </c>
      <c r="L53" s="9" t="str">
        <f t="shared" si="6"/>
        <v>[temple]89[/temple]</v>
      </c>
      <c r="M53" s="7" t="str">
        <f t="shared" si="7"/>
        <v>#REF!</v>
      </c>
      <c r="N53" s="7">
        <f t="shared" ref="N53:O53" si="58">B53-500</f>
        <v>-209</v>
      </c>
      <c r="O53" s="7">
        <f t="shared" si="58"/>
        <v>-65</v>
      </c>
    </row>
    <row r="54">
      <c r="A54" s="1">
        <v>49.0</v>
      </c>
      <c r="B54" s="2">
        <v>652.0</v>
      </c>
      <c r="C54" s="2">
        <v>519.0</v>
      </c>
      <c r="D54" s="2" t="s">
        <v>92</v>
      </c>
      <c r="E54" s="5">
        <v>65.0</v>
      </c>
      <c r="F54" s="2" t="s">
        <v>24</v>
      </c>
      <c r="H54" s="6" t="str">
        <f t="shared" si="2"/>
        <v>#REF!</v>
      </c>
      <c r="I54" s="7" t="str">
        <f t="shared" si="3"/>
        <v>#REF!</v>
      </c>
      <c r="J54" s="7" t="str">
        <f t="shared" si="4"/>
        <v>#REF!</v>
      </c>
      <c r="K54" s="8" t="str">
        <f t="shared" si="5"/>
        <v>#REF!</v>
      </c>
      <c r="L54" s="9" t="str">
        <f t="shared" si="6"/>
        <v>[temple]49[/temple]</v>
      </c>
      <c r="M54" s="7" t="str">
        <f t="shared" si="7"/>
        <v>#REF!</v>
      </c>
      <c r="N54" s="7">
        <f t="shared" ref="N54:O54" si="59">B54-500</f>
        <v>152</v>
      </c>
      <c r="O54" s="7">
        <f t="shared" si="59"/>
        <v>19</v>
      </c>
    </row>
    <row r="55">
      <c r="A55" s="1">
        <v>85.0</v>
      </c>
      <c r="B55" s="2">
        <v>355.0</v>
      </c>
      <c r="C55" s="2">
        <v>335.0</v>
      </c>
      <c r="D55" s="2" t="s">
        <v>93</v>
      </c>
      <c r="E55" s="5">
        <v>33.0</v>
      </c>
      <c r="F55" s="2" t="s">
        <v>24</v>
      </c>
      <c r="H55" s="6" t="str">
        <f t="shared" si="2"/>
        <v>#REF!</v>
      </c>
      <c r="I55" s="7" t="str">
        <f t="shared" si="3"/>
        <v>#REF!</v>
      </c>
      <c r="J55" s="7" t="str">
        <f t="shared" si="4"/>
        <v>#REF!</v>
      </c>
      <c r="K55" s="8" t="str">
        <f t="shared" si="5"/>
        <v>#REF!</v>
      </c>
      <c r="L55" s="9" t="str">
        <f t="shared" si="6"/>
        <v>[temple]85[/temple]</v>
      </c>
      <c r="M55" s="7" t="str">
        <f t="shared" si="7"/>
        <v>#REF!</v>
      </c>
      <c r="N55" s="7">
        <f t="shared" ref="N55:O55" si="60">B55-500</f>
        <v>-145</v>
      </c>
      <c r="O55" s="7">
        <f t="shared" si="60"/>
        <v>-165</v>
      </c>
    </row>
    <row r="56">
      <c r="A56" s="1">
        <v>91.0</v>
      </c>
      <c r="B56" s="2">
        <v>689.0</v>
      </c>
      <c r="C56" s="2">
        <v>614.0</v>
      </c>
      <c r="D56" s="2" t="s">
        <v>94</v>
      </c>
      <c r="E56" s="5">
        <v>66.0</v>
      </c>
      <c r="F56" s="2" t="s">
        <v>95</v>
      </c>
      <c r="H56" s="6" t="str">
        <f t="shared" si="2"/>
        <v>#REF!</v>
      </c>
      <c r="I56" s="7" t="str">
        <f t="shared" si="3"/>
        <v>#REF!</v>
      </c>
      <c r="J56" s="7" t="str">
        <f t="shared" si="4"/>
        <v>#REF!</v>
      </c>
      <c r="K56" s="8" t="str">
        <f t="shared" si="5"/>
        <v>#REF!</v>
      </c>
      <c r="L56" s="9" t="str">
        <f t="shared" si="6"/>
        <v>[temple]91[/temple]</v>
      </c>
      <c r="M56" s="7" t="str">
        <f t="shared" si="7"/>
        <v>#REF!</v>
      </c>
      <c r="N56" s="7">
        <f t="shared" ref="N56:O56" si="61">B56-500</f>
        <v>189</v>
      </c>
      <c r="O56" s="7">
        <f t="shared" si="61"/>
        <v>114</v>
      </c>
    </row>
    <row r="57">
      <c r="A57" s="1">
        <v>103.0</v>
      </c>
      <c r="B57" s="2">
        <v>281.0</v>
      </c>
      <c r="C57" s="2">
        <v>539.0</v>
      </c>
      <c r="D57" s="2" t="s">
        <v>96</v>
      </c>
      <c r="E57" s="5">
        <v>25.0</v>
      </c>
      <c r="F57" s="2" t="s">
        <v>18</v>
      </c>
      <c r="H57" s="6" t="str">
        <f t="shared" si="2"/>
        <v>#REF!</v>
      </c>
      <c r="I57" s="7" t="str">
        <f t="shared" si="3"/>
        <v>#REF!</v>
      </c>
      <c r="J57" s="7" t="str">
        <f t="shared" si="4"/>
        <v>#REF!</v>
      </c>
      <c r="K57" s="8" t="str">
        <f t="shared" si="5"/>
        <v>#REF!</v>
      </c>
      <c r="L57" s="9" t="str">
        <f t="shared" si="6"/>
        <v>[temple]103[/temple]</v>
      </c>
      <c r="M57" s="7" t="str">
        <f t="shared" si="7"/>
        <v>#REF!</v>
      </c>
      <c r="N57" s="7">
        <f t="shared" ref="N57:O57" si="62">B57-500</f>
        <v>-219</v>
      </c>
      <c r="O57" s="7">
        <f t="shared" si="62"/>
        <v>39</v>
      </c>
    </row>
    <row r="58">
      <c r="A58" s="1">
        <v>102.0</v>
      </c>
      <c r="B58" s="2">
        <v>706.0</v>
      </c>
      <c r="C58" s="2">
        <v>416.0</v>
      </c>
      <c r="D58" s="2" t="s">
        <v>97</v>
      </c>
      <c r="E58" s="5">
        <v>74.0</v>
      </c>
      <c r="F58" s="2" t="s">
        <v>60</v>
      </c>
      <c r="H58" s="6" t="str">
        <f t="shared" si="2"/>
        <v>#REF!</v>
      </c>
      <c r="I58" s="7" t="str">
        <f t="shared" si="3"/>
        <v>#REF!</v>
      </c>
      <c r="J58" s="7" t="str">
        <f t="shared" si="4"/>
        <v>#REF!</v>
      </c>
      <c r="K58" s="8" t="str">
        <f t="shared" si="5"/>
        <v>#REF!</v>
      </c>
      <c r="L58" s="9" t="str">
        <f t="shared" si="6"/>
        <v>[temple]102[/temple]</v>
      </c>
      <c r="M58" s="7" t="str">
        <f t="shared" si="7"/>
        <v>#REF!</v>
      </c>
      <c r="N58" s="7">
        <f t="shared" ref="N58:O58" si="63">B58-500</f>
        <v>206</v>
      </c>
      <c r="O58" s="7">
        <f t="shared" si="63"/>
        <v>-84</v>
      </c>
    </row>
    <row r="59">
      <c r="A59" s="1">
        <v>47.0</v>
      </c>
      <c r="B59" s="2">
        <v>625.0</v>
      </c>
      <c r="C59" s="2">
        <v>582.0</v>
      </c>
      <c r="D59" s="2" t="s">
        <v>98</v>
      </c>
      <c r="E59" s="5">
        <v>65.0</v>
      </c>
      <c r="F59" s="2" t="s">
        <v>34</v>
      </c>
      <c r="H59" s="6" t="str">
        <f t="shared" si="2"/>
        <v>#REF!</v>
      </c>
      <c r="I59" s="7" t="str">
        <f t="shared" si="3"/>
        <v>#REF!</v>
      </c>
      <c r="J59" s="7" t="str">
        <f t="shared" si="4"/>
        <v>#REF!</v>
      </c>
      <c r="K59" s="8" t="str">
        <f t="shared" si="5"/>
        <v>#REF!</v>
      </c>
      <c r="L59" s="9" t="str">
        <f t="shared" si="6"/>
        <v>[temple]47[/temple]</v>
      </c>
      <c r="M59" s="7" t="str">
        <f t="shared" si="7"/>
        <v>#REF!</v>
      </c>
      <c r="N59" s="7">
        <f t="shared" ref="N59:O59" si="64">B59-500</f>
        <v>125</v>
      </c>
      <c r="O59" s="7">
        <f t="shared" si="64"/>
        <v>82</v>
      </c>
    </row>
    <row r="60">
      <c r="A60" s="1">
        <v>100.0</v>
      </c>
      <c r="B60" s="2">
        <v>631.0</v>
      </c>
      <c r="C60" s="2">
        <v>680.0</v>
      </c>
      <c r="D60" s="2" t="s">
        <v>99</v>
      </c>
      <c r="E60" s="5">
        <v>66.0</v>
      </c>
      <c r="F60" s="2" t="s">
        <v>100</v>
      </c>
      <c r="H60" s="6" t="str">
        <f t="shared" si="2"/>
        <v>#REF!</v>
      </c>
      <c r="I60" s="7" t="str">
        <f t="shared" si="3"/>
        <v>#REF!</v>
      </c>
      <c r="J60" s="7" t="str">
        <f t="shared" si="4"/>
        <v>#REF!</v>
      </c>
      <c r="K60" s="8" t="str">
        <f t="shared" si="5"/>
        <v>#REF!</v>
      </c>
      <c r="L60" s="9" t="str">
        <f t="shared" si="6"/>
        <v>[temple]100[/temple]</v>
      </c>
      <c r="M60" s="7" t="str">
        <f t="shared" si="7"/>
        <v>#REF!</v>
      </c>
      <c r="N60" s="7">
        <f t="shared" ref="N60:O60" si="65">B60-500</f>
        <v>131</v>
      </c>
      <c r="O60" s="7">
        <f t="shared" si="65"/>
        <v>180</v>
      </c>
    </row>
    <row r="61">
      <c r="A61" s="1">
        <v>46.0</v>
      </c>
      <c r="B61" s="2">
        <v>504.0</v>
      </c>
      <c r="C61" s="2">
        <v>649.0</v>
      </c>
      <c r="D61" s="2" t="s">
        <v>101</v>
      </c>
      <c r="E61" s="5">
        <v>56.0</v>
      </c>
      <c r="F61" s="2" t="s">
        <v>102</v>
      </c>
      <c r="H61" s="6" t="str">
        <f t="shared" si="2"/>
        <v>#REF!</v>
      </c>
      <c r="I61" s="7" t="str">
        <f t="shared" si="3"/>
        <v>#REF!</v>
      </c>
      <c r="J61" s="7" t="str">
        <f t="shared" si="4"/>
        <v>#REF!</v>
      </c>
      <c r="K61" s="8" t="str">
        <f t="shared" si="5"/>
        <v>#REF!</v>
      </c>
      <c r="L61" s="9" t="str">
        <f t="shared" si="6"/>
        <v>[temple]46[/temple]</v>
      </c>
      <c r="M61" s="7" t="str">
        <f t="shared" si="7"/>
        <v>#REF!</v>
      </c>
      <c r="N61" s="7">
        <f t="shared" ref="N61:O61" si="66">B61-500</f>
        <v>4</v>
      </c>
      <c r="O61" s="7">
        <f t="shared" si="66"/>
        <v>149</v>
      </c>
    </row>
    <row r="62">
      <c r="A62" s="1">
        <v>48.0</v>
      </c>
      <c r="B62" s="2">
        <v>372.0</v>
      </c>
      <c r="C62" s="2">
        <v>574.0</v>
      </c>
      <c r="D62" s="2" t="s">
        <v>103</v>
      </c>
      <c r="E62" s="5">
        <v>35.0</v>
      </c>
      <c r="F62" s="2" t="s">
        <v>73</v>
      </c>
      <c r="H62" s="6" t="str">
        <f t="shared" si="2"/>
        <v>#REF!</v>
      </c>
      <c r="I62" s="7" t="str">
        <f t="shared" si="3"/>
        <v>#REF!</v>
      </c>
      <c r="J62" s="7" t="str">
        <f t="shared" si="4"/>
        <v>#REF!</v>
      </c>
      <c r="K62" s="8" t="str">
        <f t="shared" si="5"/>
        <v>#REF!</v>
      </c>
      <c r="L62" s="9" t="str">
        <f t="shared" si="6"/>
        <v>[temple]48[/temple]</v>
      </c>
      <c r="M62" s="7" t="str">
        <f t="shared" si="7"/>
        <v>#REF!</v>
      </c>
      <c r="N62" s="7">
        <f t="shared" ref="N62:O62" si="67">B62-500</f>
        <v>-128</v>
      </c>
      <c r="O62" s="7">
        <f t="shared" si="67"/>
        <v>74</v>
      </c>
    </row>
    <row r="63">
      <c r="A63" s="1">
        <v>93.0</v>
      </c>
      <c r="B63" s="2">
        <v>394.0</v>
      </c>
      <c r="C63" s="2">
        <v>302.0</v>
      </c>
      <c r="D63" s="2" t="s">
        <v>104</v>
      </c>
      <c r="E63" s="5">
        <v>33.0</v>
      </c>
      <c r="F63" s="2" t="s">
        <v>18</v>
      </c>
      <c r="H63" s="6" t="str">
        <f t="shared" si="2"/>
        <v>#REF!</v>
      </c>
      <c r="I63" s="7" t="str">
        <f t="shared" si="3"/>
        <v>#REF!</v>
      </c>
      <c r="J63" s="7" t="str">
        <f t="shared" si="4"/>
        <v>#REF!</v>
      </c>
      <c r="K63" s="8" t="str">
        <f t="shared" si="5"/>
        <v>#REF!</v>
      </c>
      <c r="L63" s="9" t="str">
        <f t="shared" si="6"/>
        <v>[temple]93[/temple]</v>
      </c>
      <c r="M63" s="7" t="str">
        <f t="shared" si="7"/>
        <v>#REF!</v>
      </c>
      <c r="N63" s="7">
        <f t="shared" ref="N63:O63" si="68">B63-500</f>
        <v>-106</v>
      </c>
      <c r="O63" s="7">
        <f t="shared" si="68"/>
        <v>-198</v>
      </c>
    </row>
    <row r="64">
      <c r="A64" s="1">
        <v>101.0</v>
      </c>
      <c r="B64" s="2">
        <v>619.0</v>
      </c>
      <c r="C64" s="2">
        <v>308.0</v>
      </c>
      <c r="D64" s="2" t="s">
        <v>105</v>
      </c>
      <c r="E64" s="5">
        <v>63.0</v>
      </c>
      <c r="F64" s="2" t="s">
        <v>40</v>
      </c>
      <c r="H64" s="6" t="str">
        <f t="shared" si="2"/>
        <v>#REF!</v>
      </c>
      <c r="I64" s="7" t="str">
        <f t="shared" si="3"/>
        <v>#REF!</v>
      </c>
      <c r="J64" s="7" t="str">
        <f t="shared" si="4"/>
        <v>#REF!</v>
      </c>
      <c r="K64" s="8" t="str">
        <f t="shared" si="5"/>
        <v>#REF!</v>
      </c>
      <c r="L64" s="9" t="str">
        <f t="shared" si="6"/>
        <v>[temple]101[/temple]</v>
      </c>
      <c r="M64" s="7" t="str">
        <f t="shared" si="7"/>
        <v>#REF!</v>
      </c>
      <c r="N64" s="7">
        <f t="shared" ref="N64:O64" si="69">B64-500</f>
        <v>119</v>
      </c>
      <c r="O64" s="7">
        <f t="shared" si="69"/>
        <v>-192</v>
      </c>
    </row>
    <row r="65">
      <c r="A65" s="1">
        <v>86.0</v>
      </c>
      <c r="B65" s="2">
        <v>658.0</v>
      </c>
      <c r="C65" s="2">
        <v>338.0</v>
      </c>
      <c r="D65" s="2" t="s">
        <v>106</v>
      </c>
      <c r="E65" s="5">
        <v>63.0</v>
      </c>
      <c r="F65" s="2" t="s">
        <v>30</v>
      </c>
      <c r="H65" s="6" t="str">
        <f t="shared" si="2"/>
        <v>#REF!</v>
      </c>
      <c r="I65" s="7" t="str">
        <f t="shared" si="3"/>
        <v>#REF!</v>
      </c>
      <c r="J65" s="7" t="str">
        <f t="shared" si="4"/>
        <v>#REF!</v>
      </c>
      <c r="K65" s="8" t="str">
        <f t="shared" si="5"/>
        <v>#REF!</v>
      </c>
      <c r="L65" s="9" t="str">
        <f t="shared" si="6"/>
        <v>[temple]86[/temple]</v>
      </c>
      <c r="M65" s="7" t="str">
        <f t="shared" si="7"/>
        <v>#REF!</v>
      </c>
      <c r="N65" s="7">
        <f t="shared" ref="N65:O65" si="70">B65-500</f>
        <v>158</v>
      </c>
      <c r="O65" s="7">
        <f t="shared" si="70"/>
        <v>-162</v>
      </c>
    </row>
    <row r="66">
      <c r="A66" s="1">
        <v>112.0</v>
      </c>
      <c r="B66" s="2">
        <v>700.0</v>
      </c>
      <c r="C66" s="2">
        <v>393.0</v>
      </c>
      <c r="D66" s="2" t="s">
        <v>107</v>
      </c>
      <c r="E66" s="5">
        <v>73.0</v>
      </c>
      <c r="F66" s="2" t="s">
        <v>24</v>
      </c>
      <c r="G66" s="1"/>
      <c r="H66" s="6" t="str">
        <f t="shared" si="2"/>
        <v>#REF!</v>
      </c>
      <c r="I66" s="7" t="str">
        <f t="shared" si="3"/>
        <v>#REF!</v>
      </c>
      <c r="J66" s="7" t="str">
        <f t="shared" si="4"/>
        <v>#REF!</v>
      </c>
      <c r="K66" s="8" t="str">
        <f t="shared" si="5"/>
        <v>#REF!</v>
      </c>
      <c r="L66" s="9" t="str">
        <f t="shared" si="6"/>
        <v>[temple]112[/temple]</v>
      </c>
      <c r="M66" s="7" t="str">
        <f t="shared" si="7"/>
        <v>#REF!</v>
      </c>
      <c r="N66" s="7">
        <f t="shared" ref="N66:O66" si="71">B66-500</f>
        <v>200</v>
      </c>
      <c r="O66" s="7">
        <f t="shared" si="71"/>
        <v>-107</v>
      </c>
    </row>
    <row r="67">
      <c r="A67" s="1">
        <v>124.0</v>
      </c>
      <c r="B67" s="2">
        <v>323.0</v>
      </c>
      <c r="C67" s="2">
        <v>358.0</v>
      </c>
      <c r="D67" s="2" t="s">
        <v>108</v>
      </c>
      <c r="E67" s="5">
        <v>33.0</v>
      </c>
      <c r="F67" s="2" t="s">
        <v>109</v>
      </c>
      <c r="H67" s="6" t="str">
        <f t="shared" si="2"/>
        <v>#REF!</v>
      </c>
      <c r="I67" s="7" t="str">
        <f t="shared" si="3"/>
        <v>#REF!</v>
      </c>
      <c r="J67" s="7" t="str">
        <f t="shared" si="4"/>
        <v>#REF!</v>
      </c>
      <c r="K67" s="8" t="str">
        <f t="shared" si="5"/>
        <v>#REF!</v>
      </c>
      <c r="L67" s="9" t="str">
        <f t="shared" si="6"/>
        <v>[temple]124[/temple]</v>
      </c>
      <c r="M67" s="7" t="str">
        <f t="shared" si="7"/>
        <v>#REF!</v>
      </c>
      <c r="N67" s="7">
        <f t="shared" ref="N67:O67" si="72">B67-500</f>
        <v>-177</v>
      </c>
      <c r="O67" s="7">
        <f t="shared" si="72"/>
        <v>-142</v>
      </c>
    </row>
    <row r="68">
      <c r="A68" s="1">
        <v>123.0</v>
      </c>
      <c r="B68" s="2">
        <v>537.0</v>
      </c>
      <c r="C68" s="2">
        <v>276.0</v>
      </c>
      <c r="D68" s="2" t="s">
        <v>110</v>
      </c>
      <c r="E68" s="5">
        <v>52.0</v>
      </c>
      <c r="F68" s="2" t="s">
        <v>100</v>
      </c>
      <c r="H68" s="6" t="str">
        <f t="shared" si="2"/>
        <v>#REF!</v>
      </c>
      <c r="I68" s="7" t="str">
        <f t="shared" si="3"/>
        <v>#REF!</v>
      </c>
      <c r="J68" s="7" t="str">
        <f t="shared" si="4"/>
        <v>#REF!</v>
      </c>
      <c r="K68" s="8" t="str">
        <f t="shared" si="5"/>
        <v>#REF!</v>
      </c>
      <c r="L68" s="9" t="str">
        <f t="shared" si="6"/>
        <v>[temple]123[/temple]</v>
      </c>
      <c r="M68" s="7" t="str">
        <f t="shared" si="7"/>
        <v>#REF!</v>
      </c>
      <c r="N68" s="7">
        <f t="shared" ref="N68:O68" si="73">B68-500</f>
        <v>37</v>
      </c>
      <c r="O68" s="7">
        <f t="shared" si="73"/>
        <v>-224</v>
      </c>
    </row>
    <row r="69">
      <c r="A69" s="1">
        <v>50.0</v>
      </c>
      <c r="B69" s="2">
        <v>461.0</v>
      </c>
      <c r="C69" s="2">
        <v>639.0</v>
      </c>
      <c r="D69" s="2" t="s">
        <v>111</v>
      </c>
      <c r="E69" s="5">
        <v>46.0</v>
      </c>
      <c r="F69" s="2" t="s">
        <v>24</v>
      </c>
      <c r="H69" s="6" t="str">
        <f t="shared" si="2"/>
        <v>#REF!</v>
      </c>
      <c r="I69" s="7" t="str">
        <f t="shared" si="3"/>
        <v>#REF!</v>
      </c>
      <c r="J69" s="7" t="str">
        <f t="shared" si="4"/>
        <v>#REF!</v>
      </c>
      <c r="K69" s="8" t="str">
        <f t="shared" si="5"/>
        <v>#REF!</v>
      </c>
      <c r="L69" s="9" t="str">
        <f t="shared" si="6"/>
        <v>[temple]50[/temple]</v>
      </c>
      <c r="M69" s="7" t="str">
        <f t="shared" si="7"/>
        <v>#REF!</v>
      </c>
      <c r="N69" s="7">
        <f t="shared" ref="N69:O69" si="74">B69-500</f>
        <v>-39</v>
      </c>
      <c r="O69" s="7">
        <f t="shared" si="74"/>
        <v>139</v>
      </c>
    </row>
    <row r="70">
      <c r="A70" s="1">
        <v>115.0</v>
      </c>
      <c r="B70" s="2">
        <v>423.0</v>
      </c>
      <c r="C70" s="2">
        <v>285.0</v>
      </c>
      <c r="D70" s="2" t="s">
        <v>112</v>
      </c>
      <c r="E70" s="5">
        <v>42.0</v>
      </c>
      <c r="F70" s="2" t="s">
        <v>83</v>
      </c>
      <c r="H70" s="6" t="str">
        <f t="shared" si="2"/>
        <v>#REF!</v>
      </c>
      <c r="I70" s="7" t="str">
        <f t="shared" si="3"/>
        <v>#REF!</v>
      </c>
      <c r="J70" s="7" t="str">
        <f t="shared" si="4"/>
        <v>#REF!</v>
      </c>
      <c r="K70" s="8" t="str">
        <f t="shared" si="5"/>
        <v>#REF!</v>
      </c>
      <c r="L70" s="9" t="str">
        <f t="shared" si="6"/>
        <v>[temple]115[/temple]</v>
      </c>
      <c r="M70" s="7" t="str">
        <f t="shared" si="7"/>
        <v>#REF!</v>
      </c>
      <c r="N70" s="7">
        <f t="shared" ref="N70:O70" si="75">B70-500</f>
        <v>-77</v>
      </c>
      <c r="O70" s="7">
        <f t="shared" si="75"/>
        <v>-215</v>
      </c>
    </row>
    <row r="71">
      <c r="A71" s="1">
        <v>109.0</v>
      </c>
      <c r="B71" s="2">
        <v>717.0</v>
      </c>
      <c r="C71" s="2">
        <v>576.0</v>
      </c>
      <c r="D71" s="2" t="s">
        <v>113</v>
      </c>
      <c r="E71" s="5">
        <v>75.0</v>
      </c>
      <c r="F71" s="2" t="s">
        <v>26</v>
      </c>
      <c r="H71" s="6" t="str">
        <f t="shared" si="2"/>
        <v>#REF!</v>
      </c>
      <c r="I71" s="7" t="str">
        <f t="shared" si="3"/>
        <v>#REF!</v>
      </c>
      <c r="J71" s="7" t="str">
        <f t="shared" si="4"/>
        <v>#REF!</v>
      </c>
      <c r="K71" s="8" t="str">
        <f t="shared" si="5"/>
        <v>#REF!</v>
      </c>
      <c r="L71" s="9" t="str">
        <f t="shared" si="6"/>
        <v>[temple]109[/temple]</v>
      </c>
      <c r="M71" s="7" t="str">
        <f t="shared" si="7"/>
        <v>#REF!</v>
      </c>
      <c r="N71" s="7">
        <f t="shared" ref="N71:O71" si="76">B71-500</f>
        <v>217</v>
      </c>
      <c r="O71" s="7">
        <f t="shared" si="76"/>
        <v>76</v>
      </c>
    </row>
    <row r="72">
      <c r="A72" s="1">
        <v>114.0</v>
      </c>
      <c r="B72" s="2">
        <v>580.0</v>
      </c>
      <c r="C72" s="2">
        <v>284.0</v>
      </c>
      <c r="D72" s="2" t="s">
        <v>114</v>
      </c>
      <c r="E72" s="5">
        <v>52.0</v>
      </c>
      <c r="F72" s="2" t="s">
        <v>88</v>
      </c>
      <c r="H72" s="6" t="str">
        <f t="shared" si="2"/>
        <v>#REF!</v>
      </c>
      <c r="I72" s="7" t="str">
        <f t="shared" si="3"/>
        <v>#REF!</v>
      </c>
      <c r="J72" s="7" t="str">
        <f t="shared" si="4"/>
        <v>#REF!</v>
      </c>
      <c r="K72" s="8" t="str">
        <f t="shared" si="5"/>
        <v>#REF!</v>
      </c>
      <c r="L72" s="9" t="str">
        <f t="shared" si="6"/>
        <v>[temple]114[/temple]</v>
      </c>
      <c r="M72" s="7" t="str">
        <f t="shared" si="7"/>
        <v>#REF!</v>
      </c>
      <c r="N72" s="7">
        <f t="shared" ref="N72:O72" si="77">B72-500</f>
        <v>80</v>
      </c>
      <c r="O72" s="7">
        <f t="shared" si="77"/>
        <v>-216</v>
      </c>
    </row>
    <row r="73">
      <c r="A73" s="1">
        <v>40.0</v>
      </c>
      <c r="B73" s="2">
        <v>640.0</v>
      </c>
      <c r="C73" s="2">
        <v>499.0</v>
      </c>
      <c r="D73" s="2" t="s">
        <v>115</v>
      </c>
      <c r="E73" s="5">
        <v>64.0</v>
      </c>
      <c r="F73" s="2" t="s">
        <v>18</v>
      </c>
      <c r="H73" s="6" t="str">
        <f t="shared" si="2"/>
        <v>#REF!</v>
      </c>
      <c r="I73" s="7" t="str">
        <f t="shared" si="3"/>
        <v>#REF!</v>
      </c>
      <c r="J73" s="7" t="str">
        <f t="shared" si="4"/>
        <v>#REF!</v>
      </c>
      <c r="K73" s="8" t="str">
        <f t="shared" si="5"/>
        <v>#REF!</v>
      </c>
      <c r="L73" s="9" t="str">
        <f t="shared" si="6"/>
        <v>[temple]40[/temple]</v>
      </c>
      <c r="M73" s="7" t="str">
        <f t="shared" si="7"/>
        <v>#REF!</v>
      </c>
      <c r="N73" s="7">
        <f t="shared" ref="N73:O73" si="78">B73-500</f>
        <v>140</v>
      </c>
      <c r="O73" s="7">
        <f t="shared" si="78"/>
        <v>-1</v>
      </c>
    </row>
    <row r="74">
      <c r="A74" s="1">
        <v>121.0</v>
      </c>
      <c r="B74" s="2">
        <v>732.0</v>
      </c>
      <c r="C74" s="2">
        <v>487.0</v>
      </c>
      <c r="D74" s="2" t="s">
        <v>116</v>
      </c>
      <c r="E74" s="5">
        <v>74.0</v>
      </c>
      <c r="F74" s="2" t="s">
        <v>60</v>
      </c>
      <c r="H74" s="6" t="str">
        <f t="shared" si="2"/>
        <v>#REF!</v>
      </c>
      <c r="I74" s="7" t="str">
        <f t="shared" si="3"/>
        <v>#REF!</v>
      </c>
      <c r="J74" s="7" t="str">
        <f t="shared" si="4"/>
        <v>#REF!</v>
      </c>
      <c r="K74" s="8" t="str">
        <f t="shared" si="5"/>
        <v>#REF!</v>
      </c>
      <c r="L74" s="9" t="str">
        <f t="shared" si="6"/>
        <v>[temple]121[/temple]</v>
      </c>
      <c r="M74" s="7" t="str">
        <f t="shared" si="7"/>
        <v>#REF!</v>
      </c>
      <c r="N74" s="7">
        <f t="shared" ref="N74:O74" si="79">B74-500</f>
        <v>232</v>
      </c>
      <c r="O74" s="7">
        <f t="shared" si="79"/>
        <v>-13</v>
      </c>
    </row>
    <row r="75">
      <c r="A75" s="1">
        <v>108.0</v>
      </c>
      <c r="B75" s="2">
        <v>279.0</v>
      </c>
      <c r="C75" s="2">
        <v>572.0</v>
      </c>
      <c r="D75" s="2" t="s">
        <v>117</v>
      </c>
      <c r="E75" s="5">
        <v>25.0</v>
      </c>
      <c r="F75" s="2" t="s">
        <v>100</v>
      </c>
      <c r="H75" s="6" t="str">
        <f t="shared" si="2"/>
        <v>#REF!</v>
      </c>
      <c r="I75" s="7" t="str">
        <f t="shared" si="3"/>
        <v>#REF!</v>
      </c>
      <c r="J75" s="7" t="str">
        <f t="shared" si="4"/>
        <v>#REF!</v>
      </c>
      <c r="K75" s="8" t="str">
        <f t="shared" si="5"/>
        <v>#REF!</v>
      </c>
      <c r="L75" s="9" t="str">
        <f t="shared" si="6"/>
        <v>[temple]108[/temple]</v>
      </c>
      <c r="M75" s="7" t="str">
        <f t="shared" si="7"/>
        <v>#REF!</v>
      </c>
      <c r="N75" s="7">
        <f t="shared" ref="N75:O75" si="80">B75-500</f>
        <v>-221</v>
      </c>
      <c r="O75" s="7">
        <f t="shared" si="80"/>
        <v>72</v>
      </c>
    </row>
    <row r="76">
      <c r="A76" s="1">
        <v>42.0</v>
      </c>
      <c r="B76" s="2">
        <v>537.0</v>
      </c>
      <c r="C76" s="2">
        <v>634.0</v>
      </c>
      <c r="D76" s="2" t="s">
        <v>118</v>
      </c>
      <c r="E76" s="5">
        <v>56.0</v>
      </c>
      <c r="F76" s="2" t="s">
        <v>60</v>
      </c>
      <c r="H76" s="6" t="str">
        <f t="shared" si="2"/>
        <v>#REF!</v>
      </c>
      <c r="I76" s="7" t="str">
        <f t="shared" si="3"/>
        <v>#REF!</v>
      </c>
      <c r="J76" s="7" t="str">
        <f t="shared" si="4"/>
        <v>#REF!</v>
      </c>
      <c r="K76" s="8" t="str">
        <f t="shared" si="5"/>
        <v>#REF!</v>
      </c>
      <c r="L76" s="9" t="str">
        <f t="shared" si="6"/>
        <v>[temple]42[/temple]</v>
      </c>
      <c r="M76" s="7" t="str">
        <f t="shared" si="7"/>
        <v>#REF!</v>
      </c>
      <c r="N76" s="7">
        <f t="shared" ref="N76:O76" si="81">B76-500</f>
        <v>37</v>
      </c>
      <c r="O76" s="7">
        <f t="shared" si="81"/>
        <v>134</v>
      </c>
    </row>
    <row r="77">
      <c r="A77" s="1">
        <v>118.0</v>
      </c>
      <c r="B77" s="2">
        <v>266.0</v>
      </c>
      <c r="C77" s="2">
        <v>492.0</v>
      </c>
      <c r="D77" s="2" t="s">
        <v>119</v>
      </c>
      <c r="E77" s="5">
        <v>24.0</v>
      </c>
      <c r="F77" s="2" t="s">
        <v>18</v>
      </c>
      <c r="H77" s="6" t="str">
        <f t="shared" si="2"/>
        <v>#REF!</v>
      </c>
      <c r="I77" s="7" t="str">
        <f t="shared" si="3"/>
        <v>#REF!</v>
      </c>
      <c r="J77" s="7" t="str">
        <f t="shared" si="4"/>
        <v>#REF!</v>
      </c>
      <c r="K77" s="8" t="str">
        <f t="shared" si="5"/>
        <v>#REF!</v>
      </c>
      <c r="L77" s="9" t="str">
        <f t="shared" si="6"/>
        <v>[temple]118[/temple]</v>
      </c>
      <c r="M77" s="7" t="str">
        <f t="shared" si="7"/>
        <v>#REF!</v>
      </c>
      <c r="N77" s="7">
        <f t="shared" ref="N77:O77" si="82">B77-500</f>
        <v>-234</v>
      </c>
      <c r="O77" s="7">
        <f t="shared" si="82"/>
        <v>-8</v>
      </c>
    </row>
    <row r="78">
      <c r="A78" s="1">
        <v>39.0</v>
      </c>
      <c r="B78" s="2">
        <v>390.0</v>
      </c>
      <c r="C78" s="2">
        <v>419.0</v>
      </c>
      <c r="D78" s="2" t="s">
        <v>120</v>
      </c>
      <c r="E78" s="5">
        <v>34.0</v>
      </c>
      <c r="F78" s="2" t="s">
        <v>73</v>
      </c>
      <c r="H78" s="6" t="str">
        <f t="shared" si="2"/>
        <v>#REF!</v>
      </c>
      <c r="I78" s="7" t="str">
        <f t="shared" si="3"/>
        <v>#REF!</v>
      </c>
      <c r="J78" s="7" t="str">
        <f t="shared" si="4"/>
        <v>#REF!</v>
      </c>
      <c r="K78" s="8" t="str">
        <f t="shared" si="5"/>
        <v>#REF!</v>
      </c>
      <c r="L78" s="9" t="str">
        <f t="shared" si="6"/>
        <v>[temple]39[/temple]</v>
      </c>
      <c r="M78" s="7" t="str">
        <f t="shared" si="7"/>
        <v>#REF!</v>
      </c>
      <c r="N78" s="7">
        <f t="shared" ref="N78:O78" si="83">B78-500</f>
        <v>-110</v>
      </c>
      <c r="O78" s="7">
        <f t="shared" si="83"/>
        <v>-81</v>
      </c>
    </row>
    <row r="79">
      <c r="A79" s="1">
        <v>125.0</v>
      </c>
      <c r="B79" s="2">
        <v>357.0</v>
      </c>
      <c r="C79" s="2">
        <v>689.0</v>
      </c>
      <c r="D79" s="2" t="s">
        <v>121</v>
      </c>
      <c r="E79" s="5">
        <v>36.0</v>
      </c>
      <c r="F79" s="2" t="s">
        <v>122</v>
      </c>
      <c r="H79" s="6" t="str">
        <f t="shared" si="2"/>
        <v>#REF!</v>
      </c>
      <c r="I79" s="7" t="str">
        <f t="shared" si="3"/>
        <v>#REF!</v>
      </c>
      <c r="J79" s="7" t="str">
        <f t="shared" si="4"/>
        <v>#REF!</v>
      </c>
      <c r="K79" s="8" t="str">
        <f t="shared" si="5"/>
        <v>#REF!</v>
      </c>
      <c r="L79" s="9" t="str">
        <f t="shared" si="6"/>
        <v>[temple]125[/temple]</v>
      </c>
      <c r="M79" s="7" t="str">
        <f t="shared" si="7"/>
        <v>#REF!</v>
      </c>
      <c r="N79" s="7">
        <f t="shared" ref="N79:O79" si="84">B79-500</f>
        <v>-143</v>
      </c>
      <c r="O79" s="7">
        <f t="shared" si="84"/>
        <v>189</v>
      </c>
    </row>
    <row r="80">
      <c r="A80" s="1">
        <v>120.0</v>
      </c>
      <c r="B80" s="2">
        <v>383.0</v>
      </c>
      <c r="C80" s="2">
        <v>707.0</v>
      </c>
      <c r="D80" s="2" t="s">
        <v>123</v>
      </c>
      <c r="E80" s="5">
        <v>37.0</v>
      </c>
      <c r="F80" s="2" t="s">
        <v>122</v>
      </c>
      <c r="H80" s="6" t="str">
        <f t="shared" si="2"/>
        <v>#REF!</v>
      </c>
      <c r="I80" s="7" t="str">
        <f t="shared" si="3"/>
        <v>#REF!</v>
      </c>
      <c r="J80" s="7" t="str">
        <f t="shared" si="4"/>
        <v>#REF!</v>
      </c>
      <c r="K80" s="8" t="str">
        <f t="shared" si="5"/>
        <v>#REF!</v>
      </c>
      <c r="L80" s="9" t="str">
        <f t="shared" si="6"/>
        <v>[temple]120[/temple]</v>
      </c>
      <c r="M80" s="7" t="str">
        <f t="shared" si="7"/>
        <v>#REF!</v>
      </c>
      <c r="N80" s="7">
        <f t="shared" ref="N80:O80" si="85">B80-500</f>
        <v>-117</v>
      </c>
      <c r="O80" s="7">
        <f t="shared" si="85"/>
        <v>207</v>
      </c>
    </row>
    <row r="81">
      <c r="A81" s="1">
        <v>29.0</v>
      </c>
      <c r="B81" s="2">
        <v>556.0</v>
      </c>
      <c r="C81" s="2">
        <v>378.0</v>
      </c>
      <c r="D81" s="2" t="s">
        <v>124</v>
      </c>
      <c r="E81" s="5">
        <v>53.0</v>
      </c>
      <c r="F81" s="2" t="s">
        <v>24</v>
      </c>
      <c r="H81" s="6" t="str">
        <f t="shared" si="2"/>
        <v>#REF!</v>
      </c>
      <c r="I81" s="7" t="str">
        <f t="shared" si="3"/>
        <v>#REF!</v>
      </c>
      <c r="J81" s="7" t="str">
        <f t="shared" si="4"/>
        <v>#REF!</v>
      </c>
      <c r="K81" s="8" t="str">
        <f t="shared" si="5"/>
        <v>#REF!</v>
      </c>
      <c r="L81" s="9" t="str">
        <f t="shared" si="6"/>
        <v>[temple]29[/temple]</v>
      </c>
      <c r="M81" s="7" t="str">
        <f t="shared" si="7"/>
        <v>#REF!</v>
      </c>
      <c r="N81" s="7">
        <f t="shared" ref="N81:O81" si="86">B81-500</f>
        <v>56</v>
      </c>
      <c r="O81" s="7">
        <f t="shared" si="86"/>
        <v>-122</v>
      </c>
    </row>
    <row r="82">
      <c r="A82" s="1">
        <v>26.0</v>
      </c>
      <c r="B82" s="2">
        <v>510.0</v>
      </c>
      <c r="C82" s="2">
        <v>367.0</v>
      </c>
      <c r="D82" s="2" t="s">
        <v>125</v>
      </c>
      <c r="E82" s="5">
        <v>53.0</v>
      </c>
      <c r="F82" s="2" t="s">
        <v>126</v>
      </c>
      <c r="H82" s="6" t="str">
        <f t="shared" si="2"/>
        <v>#REF!</v>
      </c>
      <c r="I82" s="7" t="str">
        <f t="shared" si="3"/>
        <v>#REF!</v>
      </c>
      <c r="J82" s="7" t="str">
        <f t="shared" si="4"/>
        <v>#REF!</v>
      </c>
      <c r="K82" s="8" t="str">
        <f t="shared" si="5"/>
        <v>#REF!</v>
      </c>
      <c r="L82" s="9" t="str">
        <f t="shared" si="6"/>
        <v>[temple]26[/temple]</v>
      </c>
      <c r="M82" s="7" t="str">
        <f t="shared" si="7"/>
        <v>#REF!</v>
      </c>
      <c r="N82" s="7">
        <f t="shared" ref="N82:O82" si="87">B82-500</f>
        <v>10</v>
      </c>
      <c r="O82" s="7">
        <f t="shared" si="87"/>
        <v>-133</v>
      </c>
    </row>
    <row r="83">
      <c r="A83" s="1">
        <v>32.0</v>
      </c>
      <c r="B83" s="2">
        <v>367.0</v>
      </c>
      <c r="C83" s="2">
        <v>494.0</v>
      </c>
      <c r="D83" s="2" t="s">
        <v>127</v>
      </c>
      <c r="E83" s="5">
        <v>34.0</v>
      </c>
      <c r="F83" s="2" t="s">
        <v>128</v>
      </c>
      <c r="H83" s="6" t="str">
        <f t="shared" si="2"/>
        <v>#REF!</v>
      </c>
      <c r="I83" s="7" t="str">
        <f t="shared" si="3"/>
        <v>#REF!</v>
      </c>
      <c r="J83" s="7" t="str">
        <f t="shared" si="4"/>
        <v>#REF!</v>
      </c>
      <c r="K83" s="8" t="str">
        <f t="shared" si="5"/>
        <v>#REF!</v>
      </c>
      <c r="L83" s="9" t="str">
        <f t="shared" si="6"/>
        <v>[temple]32[/temple]</v>
      </c>
      <c r="M83" s="7" t="str">
        <f t="shared" si="7"/>
        <v>#REF!</v>
      </c>
      <c r="N83" s="7">
        <f t="shared" ref="N83:O83" si="88">B83-500</f>
        <v>-133</v>
      </c>
      <c r="O83" s="7">
        <f t="shared" si="88"/>
        <v>-6</v>
      </c>
    </row>
    <row r="84">
      <c r="A84" s="1">
        <v>107.0</v>
      </c>
      <c r="B84" s="2">
        <v>555.0</v>
      </c>
      <c r="C84" s="2">
        <v>734.0</v>
      </c>
      <c r="D84" s="2" t="s">
        <v>129</v>
      </c>
      <c r="E84" s="5">
        <v>57.0</v>
      </c>
      <c r="F84" s="2" t="s">
        <v>73</v>
      </c>
      <c r="H84" s="6" t="str">
        <f t="shared" si="2"/>
        <v>#REF!</v>
      </c>
      <c r="I84" s="7" t="str">
        <f t="shared" si="3"/>
        <v>#REF!</v>
      </c>
      <c r="J84" s="7" t="str">
        <f t="shared" si="4"/>
        <v>#REF!</v>
      </c>
      <c r="K84" s="8" t="str">
        <f t="shared" si="5"/>
        <v>#REF!</v>
      </c>
      <c r="L84" s="9" t="str">
        <f t="shared" si="6"/>
        <v>[temple]107[/temple]</v>
      </c>
      <c r="M84" s="7" t="str">
        <f t="shared" si="7"/>
        <v>#REF!</v>
      </c>
      <c r="N84" s="7">
        <f t="shared" ref="N84:O84" si="89">B84-500</f>
        <v>55</v>
      </c>
      <c r="O84" s="7">
        <f t="shared" si="89"/>
        <v>234</v>
      </c>
    </row>
    <row r="85">
      <c r="A85" s="1">
        <v>28.0</v>
      </c>
      <c r="B85" s="2">
        <v>440.0</v>
      </c>
      <c r="C85" s="2">
        <v>383.0</v>
      </c>
      <c r="D85" s="2" t="s">
        <v>130</v>
      </c>
      <c r="E85" s="5">
        <v>43.0</v>
      </c>
      <c r="F85" s="2" t="s">
        <v>20</v>
      </c>
      <c r="H85" s="6" t="str">
        <f t="shared" si="2"/>
        <v>#REF!</v>
      </c>
      <c r="I85" s="7" t="str">
        <f t="shared" si="3"/>
        <v>#REF!</v>
      </c>
      <c r="J85" s="7" t="str">
        <f t="shared" si="4"/>
        <v>#REF!</v>
      </c>
      <c r="K85" s="8" t="str">
        <f t="shared" si="5"/>
        <v>#REF!</v>
      </c>
      <c r="L85" s="9" t="str">
        <f t="shared" si="6"/>
        <v>[temple]28[/temple]</v>
      </c>
      <c r="M85" s="7" t="str">
        <f t="shared" si="7"/>
        <v>#REF!</v>
      </c>
      <c r="N85" s="7">
        <f t="shared" ref="N85:O85" si="90">B85-500</f>
        <v>-60</v>
      </c>
      <c r="O85" s="7">
        <f t="shared" si="90"/>
        <v>-117</v>
      </c>
    </row>
    <row r="86">
      <c r="A86" s="1">
        <v>111.0</v>
      </c>
      <c r="B86" s="2">
        <v>740.0</v>
      </c>
      <c r="C86" s="2">
        <v>522.0</v>
      </c>
      <c r="D86" s="1" t="s">
        <v>131</v>
      </c>
      <c r="E86" s="5">
        <v>75.0</v>
      </c>
      <c r="F86" s="2" t="s">
        <v>24</v>
      </c>
      <c r="H86" s="6" t="str">
        <f t="shared" si="2"/>
        <v>#REF!</v>
      </c>
      <c r="I86" s="7" t="str">
        <f t="shared" si="3"/>
        <v>#REF!</v>
      </c>
      <c r="J86" s="7" t="str">
        <f t="shared" si="4"/>
        <v>#REF!</v>
      </c>
      <c r="K86" s="8" t="str">
        <f t="shared" si="5"/>
        <v>#REF!</v>
      </c>
      <c r="L86" s="9" t="str">
        <f t="shared" si="6"/>
        <v>[temple]111[/temple]</v>
      </c>
      <c r="M86" s="7" t="str">
        <f t="shared" si="7"/>
        <v>#REF!</v>
      </c>
      <c r="N86" s="7">
        <f t="shared" ref="N86:O86" si="91">B86-500</f>
        <v>240</v>
      </c>
      <c r="O86" s="7">
        <f t="shared" si="91"/>
        <v>22</v>
      </c>
    </row>
    <row r="87">
      <c r="A87" s="1">
        <v>110.0</v>
      </c>
      <c r="B87" s="2">
        <v>265.0</v>
      </c>
      <c r="C87" s="2">
        <v>446.0</v>
      </c>
      <c r="D87" s="2" t="s">
        <v>132</v>
      </c>
      <c r="E87" s="5">
        <v>24.0</v>
      </c>
      <c r="F87" s="2" t="s">
        <v>75</v>
      </c>
      <c r="H87" s="6" t="str">
        <f t="shared" si="2"/>
        <v>#REF!</v>
      </c>
      <c r="I87" s="7" t="str">
        <f t="shared" si="3"/>
        <v>#REF!</v>
      </c>
      <c r="J87" s="7" t="str">
        <f t="shared" si="4"/>
        <v>#REF!</v>
      </c>
      <c r="K87" s="8" t="str">
        <f t="shared" si="5"/>
        <v>#REF!</v>
      </c>
      <c r="L87" s="9" t="str">
        <f t="shared" si="6"/>
        <v>[temple]110[/temple]</v>
      </c>
      <c r="M87" s="7" t="str">
        <f t="shared" si="7"/>
        <v>#REF!</v>
      </c>
      <c r="N87" s="7">
        <f t="shared" ref="N87:O87" si="92">B87-500</f>
        <v>-235</v>
      </c>
      <c r="O87" s="7">
        <f t="shared" si="92"/>
        <v>-54</v>
      </c>
    </row>
    <row r="88">
      <c r="A88" s="1">
        <v>27.0</v>
      </c>
      <c r="B88" s="2">
        <v>586.0</v>
      </c>
      <c r="C88" s="2">
        <v>598.0</v>
      </c>
      <c r="D88" s="2" t="s">
        <v>133</v>
      </c>
      <c r="E88" s="5">
        <v>55.0</v>
      </c>
      <c r="F88" s="2" t="s">
        <v>86</v>
      </c>
      <c r="H88" s="6" t="str">
        <f t="shared" si="2"/>
        <v>#REF!</v>
      </c>
      <c r="I88" s="7" t="str">
        <f t="shared" si="3"/>
        <v>#REF!</v>
      </c>
      <c r="J88" s="7" t="str">
        <f t="shared" si="4"/>
        <v>#REF!</v>
      </c>
      <c r="K88" s="8" t="str">
        <f t="shared" si="5"/>
        <v>#REF!</v>
      </c>
      <c r="L88" s="9" t="str">
        <f t="shared" si="6"/>
        <v>[temple]27[/temple]</v>
      </c>
      <c r="M88" s="7" t="str">
        <f t="shared" si="7"/>
        <v>#REF!</v>
      </c>
      <c r="N88" s="7">
        <f t="shared" ref="N88:O88" si="93">B88-500</f>
        <v>86</v>
      </c>
      <c r="O88" s="7">
        <f t="shared" si="93"/>
        <v>98</v>
      </c>
    </row>
    <row r="89">
      <c r="A89" s="1">
        <v>117.0</v>
      </c>
      <c r="B89" s="2">
        <v>412.0</v>
      </c>
      <c r="C89" s="2">
        <v>726.0</v>
      </c>
      <c r="D89" s="2" t="s">
        <v>134</v>
      </c>
      <c r="E89" s="5">
        <v>47.0</v>
      </c>
      <c r="F89" s="2" t="s">
        <v>24</v>
      </c>
      <c r="H89" s="6" t="str">
        <f t="shared" si="2"/>
        <v>#REF!</v>
      </c>
      <c r="I89" s="7" t="str">
        <f t="shared" si="3"/>
        <v>#REF!</v>
      </c>
      <c r="J89" s="7" t="str">
        <f t="shared" si="4"/>
        <v>#REF!</v>
      </c>
      <c r="K89" s="8" t="str">
        <f t="shared" si="5"/>
        <v>#REF!</v>
      </c>
      <c r="L89" s="9" t="str">
        <f t="shared" si="6"/>
        <v>[temple]117[/temple]</v>
      </c>
      <c r="M89" s="7" t="str">
        <f t="shared" si="7"/>
        <v>#REF!</v>
      </c>
      <c r="N89" s="7">
        <f t="shared" ref="N89:O89" si="94">B89-500</f>
        <v>-88</v>
      </c>
      <c r="O89" s="7">
        <f t="shared" si="94"/>
        <v>226</v>
      </c>
    </row>
    <row r="90">
      <c r="A90" s="1">
        <v>113.0</v>
      </c>
      <c r="B90" s="2">
        <v>465.0</v>
      </c>
      <c r="C90" s="2">
        <v>741.0</v>
      </c>
      <c r="D90" s="2" t="s">
        <v>135</v>
      </c>
      <c r="E90" s="5">
        <v>47.0</v>
      </c>
      <c r="F90" s="2" t="s">
        <v>60</v>
      </c>
      <c r="H90" s="6" t="str">
        <f t="shared" si="2"/>
        <v>#REF!</v>
      </c>
      <c r="I90" s="7" t="str">
        <f t="shared" si="3"/>
        <v>#REF!</v>
      </c>
      <c r="J90" s="7" t="str">
        <f t="shared" si="4"/>
        <v>#REF!</v>
      </c>
      <c r="K90" s="8" t="str">
        <f t="shared" si="5"/>
        <v>#REF!</v>
      </c>
      <c r="L90" s="9" t="str">
        <f t="shared" si="6"/>
        <v>[temple]113[/temple]</v>
      </c>
      <c r="M90" s="7" t="str">
        <f t="shared" si="7"/>
        <v>#REF!</v>
      </c>
      <c r="N90" s="7">
        <f t="shared" ref="N90:O90" si="95">B90-500</f>
        <v>-35</v>
      </c>
      <c r="O90" s="7">
        <f t="shared" si="95"/>
        <v>241</v>
      </c>
    </row>
    <row r="91">
      <c r="A91" s="1">
        <v>116.0</v>
      </c>
      <c r="B91" s="2">
        <v>654.0</v>
      </c>
      <c r="C91" s="2">
        <v>689.0</v>
      </c>
      <c r="D91" s="2" t="s">
        <v>136</v>
      </c>
      <c r="E91" s="5">
        <v>66.0</v>
      </c>
      <c r="F91" s="2" t="s">
        <v>60</v>
      </c>
      <c r="H91" s="6" t="str">
        <f t="shared" si="2"/>
        <v>#REF!</v>
      </c>
      <c r="I91" s="7" t="str">
        <f t="shared" si="3"/>
        <v>#REF!</v>
      </c>
      <c r="J91" s="7" t="str">
        <f t="shared" si="4"/>
        <v>#REF!</v>
      </c>
      <c r="K91" s="8" t="str">
        <f t="shared" si="5"/>
        <v>#REF!</v>
      </c>
      <c r="L91" s="9" t="str">
        <f t="shared" si="6"/>
        <v>[temple]116[/temple]</v>
      </c>
      <c r="M91" s="7" t="str">
        <f t="shared" si="7"/>
        <v>#REF!</v>
      </c>
      <c r="N91" s="7">
        <f t="shared" ref="N91:O91" si="96">B91-500</f>
        <v>154</v>
      </c>
      <c r="O91" s="7">
        <f t="shared" si="96"/>
        <v>189</v>
      </c>
    </row>
    <row r="92">
      <c r="A92" s="1">
        <v>33.0</v>
      </c>
      <c r="B92" s="2">
        <v>627.0</v>
      </c>
      <c r="C92" s="2">
        <v>515.0</v>
      </c>
      <c r="D92" s="2" t="s">
        <v>137</v>
      </c>
      <c r="E92" s="5">
        <v>65.0</v>
      </c>
      <c r="F92" s="2" t="s">
        <v>138</v>
      </c>
      <c r="H92" s="6" t="str">
        <f t="shared" si="2"/>
        <v>#REF!</v>
      </c>
      <c r="I92" s="7" t="str">
        <f t="shared" si="3"/>
        <v>#REF!</v>
      </c>
      <c r="J92" s="7" t="str">
        <f t="shared" si="4"/>
        <v>#REF!</v>
      </c>
      <c r="K92" s="8" t="str">
        <f t="shared" si="5"/>
        <v>#REF!</v>
      </c>
      <c r="L92" s="9" t="str">
        <f t="shared" si="6"/>
        <v>[temple]33[/temple]</v>
      </c>
      <c r="M92" s="7" t="str">
        <f t="shared" si="7"/>
        <v>#REF!</v>
      </c>
      <c r="N92" s="7">
        <f t="shared" ref="N92:O92" si="97">B92-500</f>
        <v>127</v>
      </c>
      <c r="O92" s="7">
        <f t="shared" si="97"/>
        <v>15</v>
      </c>
    </row>
    <row r="93">
      <c r="A93" s="1">
        <v>122.0</v>
      </c>
      <c r="B93" s="2">
        <v>583.0</v>
      </c>
      <c r="C93" s="2">
        <v>730.0</v>
      </c>
      <c r="D93" s="2" t="s">
        <v>139</v>
      </c>
      <c r="E93" s="5">
        <v>57.0</v>
      </c>
      <c r="F93" s="2" t="s">
        <v>75</v>
      </c>
      <c r="H93" s="6" t="str">
        <f t="shared" si="2"/>
        <v>#REF!</v>
      </c>
      <c r="I93" s="7" t="str">
        <f t="shared" si="3"/>
        <v>#REF!</v>
      </c>
      <c r="J93" s="7" t="str">
        <f t="shared" si="4"/>
        <v>#REF!</v>
      </c>
      <c r="K93" s="8" t="str">
        <f t="shared" si="5"/>
        <v>#REF!</v>
      </c>
      <c r="L93" s="9" t="str">
        <f t="shared" si="6"/>
        <v>[temple]122[/temple]</v>
      </c>
      <c r="M93" s="7" t="str">
        <f t="shared" si="7"/>
        <v>#REF!</v>
      </c>
      <c r="N93" s="7">
        <f t="shared" ref="N93:O93" si="98">B93-500</f>
        <v>83</v>
      </c>
      <c r="O93" s="7">
        <f t="shared" si="98"/>
        <v>230</v>
      </c>
    </row>
    <row r="94">
      <c r="A94" s="1">
        <v>105.0</v>
      </c>
      <c r="B94" s="2">
        <v>456.0</v>
      </c>
      <c r="C94" s="2">
        <v>259.0</v>
      </c>
      <c r="D94" s="2" t="s">
        <v>140</v>
      </c>
      <c r="E94" s="5">
        <v>42.0</v>
      </c>
      <c r="F94" s="2" t="s">
        <v>24</v>
      </c>
      <c r="H94" s="6" t="str">
        <f t="shared" si="2"/>
        <v>#REF!</v>
      </c>
      <c r="I94" s="7" t="str">
        <f t="shared" si="3"/>
        <v>#REF!</v>
      </c>
      <c r="J94" s="7" t="str">
        <f t="shared" si="4"/>
        <v>#REF!</v>
      </c>
      <c r="K94" s="8" t="str">
        <f t="shared" si="5"/>
        <v>#REF!</v>
      </c>
      <c r="L94" s="9" t="str">
        <f t="shared" si="6"/>
        <v>[temple]105[/temple]</v>
      </c>
      <c r="M94" s="7" t="str">
        <f t="shared" si="7"/>
        <v>#REF!</v>
      </c>
      <c r="N94" s="7">
        <f t="shared" ref="N94:O94" si="99">B94-500</f>
        <v>-44</v>
      </c>
      <c r="O94" s="7">
        <f t="shared" si="99"/>
        <v>-241</v>
      </c>
    </row>
    <row r="95">
      <c r="A95" s="1">
        <v>31.0</v>
      </c>
      <c r="B95" s="2">
        <v>435.0</v>
      </c>
      <c r="C95" s="2">
        <v>609.0</v>
      </c>
      <c r="D95" s="2" t="s">
        <v>141</v>
      </c>
      <c r="E95" s="5">
        <v>46.0</v>
      </c>
      <c r="F95" s="2" t="s">
        <v>142</v>
      </c>
      <c r="H95" s="6" t="str">
        <f t="shared" si="2"/>
        <v>#REF!</v>
      </c>
      <c r="I95" s="7" t="str">
        <f t="shared" si="3"/>
        <v>#REF!</v>
      </c>
      <c r="J95" s="7" t="str">
        <f t="shared" si="4"/>
        <v>#REF!</v>
      </c>
      <c r="K95" s="8" t="str">
        <f t="shared" si="5"/>
        <v>#REF!</v>
      </c>
      <c r="L95" s="9" t="str">
        <f t="shared" si="6"/>
        <v>[temple]31[/temple]</v>
      </c>
      <c r="M95" s="7" t="str">
        <f t="shared" si="7"/>
        <v>#REF!</v>
      </c>
      <c r="N95" s="7">
        <f t="shared" ref="N95:O95" si="100">B95-500</f>
        <v>-65</v>
      </c>
      <c r="O95" s="7">
        <f t="shared" si="100"/>
        <v>109</v>
      </c>
    </row>
    <row r="96">
      <c r="A96" s="1">
        <v>119.0</v>
      </c>
      <c r="B96" s="2">
        <v>688.0</v>
      </c>
      <c r="C96" s="2">
        <v>342.0</v>
      </c>
      <c r="D96" s="2" t="s">
        <v>143</v>
      </c>
      <c r="E96" s="5">
        <v>63.0</v>
      </c>
      <c r="F96" s="2" t="s">
        <v>122</v>
      </c>
      <c r="H96" s="6" t="str">
        <f t="shared" si="2"/>
        <v>#REF!</v>
      </c>
      <c r="I96" s="7" t="str">
        <f t="shared" si="3"/>
        <v>#REF!</v>
      </c>
      <c r="J96" s="7" t="str">
        <f t="shared" si="4"/>
        <v>#REF!</v>
      </c>
      <c r="K96" s="8" t="str">
        <f t="shared" si="5"/>
        <v>#REF!</v>
      </c>
      <c r="L96" s="9" t="str">
        <f t="shared" si="6"/>
        <v>[temple]119[/temple]</v>
      </c>
      <c r="M96" s="7" t="str">
        <f t="shared" si="7"/>
        <v>#REF!</v>
      </c>
      <c r="N96" s="7">
        <f t="shared" ref="N96:O96" si="101">B96-500</f>
        <v>188</v>
      </c>
      <c r="O96" s="7">
        <f t="shared" si="101"/>
        <v>-158</v>
      </c>
    </row>
    <row r="97">
      <c r="A97" s="1">
        <v>35.0</v>
      </c>
      <c r="B97" s="2">
        <v>617.0</v>
      </c>
      <c r="C97" s="2">
        <v>459.0</v>
      </c>
      <c r="D97" s="2" t="s">
        <v>144</v>
      </c>
      <c r="E97" s="5">
        <v>64.0</v>
      </c>
      <c r="F97" s="2" t="s">
        <v>54</v>
      </c>
      <c r="H97" s="6" t="str">
        <f t="shared" si="2"/>
        <v>#REF!</v>
      </c>
      <c r="I97" s="7" t="str">
        <f t="shared" si="3"/>
        <v>#REF!</v>
      </c>
      <c r="J97" s="7" t="str">
        <f t="shared" si="4"/>
        <v>#REF!</v>
      </c>
      <c r="K97" s="8" t="str">
        <f t="shared" si="5"/>
        <v>#REF!</v>
      </c>
      <c r="L97" s="9" t="str">
        <f t="shared" si="6"/>
        <v>[temple]35[/temple]</v>
      </c>
      <c r="M97" s="7" t="str">
        <f t="shared" si="7"/>
        <v>#REF!</v>
      </c>
      <c r="N97" s="7">
        <f t="shared" ref="N97:O97" si="102">B97-500</f>
        <v>117</v>
      </c>
      <c r="O97" s="7">
        <f t="shared" si="102"/>
        <v>-41</v>
      </c>
    </row>
    <row r="98">
      <c r="A98" s="1">
        <v>106.0</v>
      </c>
      <c r="B98" s="2">
        <v>511.0</v>
      </c>
      <c r="C98" s="2">
        <v>252.0</v>
      </c>
      <c r="D98" s="2" t="s">
        <v>145</v>
      </c>
      <c r="E98" s="5">
        <v>52.0</v>
      </c>
      <c r="F98" s="2" t="s">
        <v>34</v>
      </c>
      <c r="H98" s="6" t="str">
        <f t="shared" si="2"/>
        <v>#REF!</v>
      </c>
      <c r="I98" s="7" t="str">
        <f t="shared" si="3"/>
        <v>#REF!</v>
      </c>
      <c r="J98" s="7" t="str">
        <f t="shared" si="4"/>
        <v>#REF!</v>
      </c>
      <c r="K98" s="8" t="str">
        <f t="shared" si="5"/>
        <v>#REF!</v>
      </c>
      <c r="L98" s="9" t="str">
        <f t="shared" si="6"/>
        <v>[temple]106[/temple]</v>
      </c>
      <c r="M98" s="7" t="str">
        <f t="shared" si="7"/>
        <v>#REF!</v>
      </c>
      <c r="N98" s="7">
        <f t="shared" ref="N98:O98" si="103">B98-500</f>
        <v>11</v>
      </c>
      <c r="O98" s="7">
        <f t="shared" si="103"/>
        <v>-248</v>
      </c>
    </row>
    <row r="99">
      <c r="A99" s="1">
        <v>126.0</v>
      </c>
      <c r="B99" s="2">
        <v>531.0</v>
      </c>
      <c r="C99" s="2">
        <v>253.0</v>
      </c>
      <c r="D99" s="2" t="s">
        <v>146</v>
      </c>
      <c r="E99" s="5">
        <v>52.0</v>
      </c>
      <c r="F99" s="2" t="s">
        <v>60</v>
      </c>
      <c r="H99" s="6" t="str">
        <f t="shared" si="2"/>
        <v>#REF!</v>
      </c>
      <c r="I99" s="7" t="str">
        <f t="shared" si="3"/>
        <v>#REF!</v>
      </c>
      <c r="J99" s="7" t="str">
        <f t="shared" si="4"/>
        <v>#REF!</v>
      </c>
      <c r="K99" s="8" t="str">
        <f t="shared" si="5"/>
        <v>#REF!</v>
      </c>
      <c r="L99" s="9" t="str">
        <f t="shared" si="6"/>
        <v>[temple]126[/temple]</v>
      </c>
      <c r="M99" s="7" t="str">
        <f t="shared" si="7"/>
        <v>#REF!</v>
      </c>
      <c r="N99" s="7">
        <f t="shared" ref="N99:O99" si="104">B99-500</f>
        <v>31</v>
      </c>
      <c r="O99" s="7">
        <f t="shared" si="104"/>
        <v>-247</v>
      </c>
    </row>
    <row r="100">
      <c r="A100" s="1">
        <v>36.0</v>
      </c>
      <c r="B100" s="2">
        <v>526.0</v>
      </c>
      <c r="C100" s="2">
        <v>380.0</v>
      </c>
      <c r="D100" s="2" t="s">
        <v>147</v>
      </c>
      <c r="E100" s="5">
        <v>53.0</v>
      </c>
      <c r="F100" s="2" t="s">
        <v>75</v>
      </c>
      <c r="H100" s="6" t="str">
        <f t="shared" si="2"/>
        <v>#REF!</v>
      </c>
      <c r="I100" s="7" t="str">
        <f t="shared" si="3"/>
        <v>#REF!</v>
      </c>
      <c r="J100" s="7" t="str">
        <f t="shared" si="4"/>
        <v>#REF!</v>
      </c>
      <c r="K100" s="8" t="str">
        <f t="shared" si="5"/>
        <v>#REF!</v>
      </c>
      <c r="L100" s="9" t="str">
        <f t="shared" si="6"/>
        <v>[temple]36[/temple]</v>
      </c>
      <c r="M100" s="7" t="str">
        <f t="shared" si="7"/>
        <v>#REF!</v>
      </c>
      <c r="N100" s="7">
        <f t="shared" ref="N100:O100" si="105">B100-500</f>
        <v>26</v>
      </c>
      <c r="O100" s="7">
        <f t="shared" si="105"/>
        <v>-120</v>
      </c>
    </row>
    <row r="101">
      <c r="A101" s="1">
        <v>30.0</v>
      </c>
      <c r="B101" s="2">
        <v>393.0</v>
      </c>
      <c r="C101" s="2">
        <v>443.0</v>
      </c>
      <c r="D101" s="2" t="s">
        <v>148</v>
      </c>
      <c r="E101" s="5">
        <v>34.0</v>
      </c>
      <c r="F101" s="2" t="s">
        <v>24</v>
      </c>
      <c r="H101" s="6" t="str">
        <f t="shared" si="2"/>
        <v>#REF!</v>
      </c>
      <c r="I101" s="7" t="str">
        <f t="shared" si="3"/>
        <v>#REF!</v>
      </c>
      <c r="J101" s="7" t="str">
        <f t="shared" si="4"/>
        <v>#REF!</v>
      </c>
      <c r="K101" s="8" t="str">
        <f t="shared" si="5"/>
        <v>#REF!</v>
      </c>
      <c r="L101" s="9" t="str">
        <f t="shared" si="6"/>
        <v>[temple]30[/temple]</v>
      </c>
      <c r="M101" s="7" t="str">
        <f t="shared" si="7"/>
        <v>#REF!</v>
      </c>
      <c r="N101" s="7">
        <f t="shared" ref="N101:O101" si="106">B101-500</f>
        <v>-107</v>
      </c>
      <c r="O101" s="7">
        <f t="shared" si="106"/>
        <v>-57</v>
      </c>
    </row>
    <row r="102">
      <c r="A102" s="1">
        <v>141.0</v>
      </c>
      <c r="B102" s="2">
        <v>615.0</v>
      </c>
      <c r="C102" s="2">
        <v>723.0</v>
      </c>
      <c r="D102" s="2" t="s">
        <v>149</v>
      </c>
      <c r="E102" s="5">
        <v>67.0</v>
      </c>
      <c r="F102" s="2" t="s">
        <v>24</v>
      </c>
      <c r="H102" s="6" t="str">
        <f t="shared" si="2"/>
        <v>#REF!</v>
      </c>
      <c r="I102" s="7" t="str">
        <f t="shared" si="3"/>
        <v>#REF!</v>
      </c>
      <c r="J102" s="7" t="str">
        <f t="shared" si="4"/>
        <v>#REF!</v>
      </c>
      <c r="K102" s="8" t="str">
        <f t="shared" si="5"/>
        <v>#REF!</v>
      </c>
      <c r="L102" s="9" t="str">
        <f t="shared" si="6"/>
        <v>[temple]141[/temple]</v>
      </c>
      <c r="M102" s="7" t="str">
        <f t="shared" si="7"/>
        <v>#REF!</v>
      </c>
      <c r="N102" s="7">
        <f t="shared" ref="N102:O102" si="107">B102-500</f>
        <v>115</v>
      </c>
      <c r="O102" s="7">
        <f t="shared" si="107"/>
        <v>223</v>
      </c>
    </row>
    <row r="103">
      <c r="A103" s="1">
        <v>138.0</v>
      </c>
      <c r="B103" s="2">
        <v>315.0</v>
      </c>
      <c r="C103" s="2">
        <v>327.0</v>
      </c>
      <c r="D103" s="2" t="s">
        <v>150</v>
      </c>
      <c r="E103" s="5">
        <v>33.0</v>
      </c>
      <c r="F103" s="2" t="s">
        <v>138</v>
      </c>
      <c r="H103" s="6" t="str">
        <f t="shared" si="2"/>
        <v>#REF!</v>
      </c>
      <c r="I103" s="7" t="str">
        <f t="shared" si="3"/>
        <v>#REF!</v>
      </c>
      <c r="J103" s="7" t="str">
        <f t="shared" si="4"/>
        <v>#REF!</v>
      </c>
      <c r="K103" s="8" t="str">
        <f t="shared" si="5"/>
        <v>#REF!</v>
      </c>
      <c r="L103" s="9" t="str">
        <f t="shared" si="6"/>
        <v>[temple]138[/temple]</v>
      </c>
      <c r="M103" s="7" t="str">
        <f t="shared" si="7"/>
        <v>#REF!</v>
      </c>
      <c r="N103" s="7">
        <f t="shared" ref="N103:O103" si="108">B103-500</f>
        <v>-185</v>
      </c>
      <c r="O103" s="7">
        <f t="shared" si="108"/>
        <v>-173</v>
      </c>
    </row>
    <row r="104">
      <c r="A104" s="1">
        <v>132.0</v>
      </c>
      <c r="B104" s="2">
        <v>749.0</v>
      </c>
      <c r="C104" s="2">
        <v>555.0</v>
      </c>
      <c r="D104" s="2" t="s">
        <v>151</v>
      </c>
      <c r="E104" s="5">
        <v>75.0</v>
      </c>
      <c r="F104" s="2" t="s">
        <v>73</v>
      </c>
      <c r="H104" s="6" t="str">
        <f t="shared" si="2"/>
        <v>#REF!</v>
      </c>
      <c r="I104" s="7" t="str">
        <f t="shared" si="3"/>
        <v>#REF!</v>
      </c>
      <c r="J104" s="7" t="str">
        <f t="shared" si="4"/>
        <v>#REF!</v>
      </c>
      <c r="K104" s="8" t="str">
        <f t="shared" si="5"/>
        <v>#REF!</v>
      </c>
      <c r="L104" s="9" t="str">
        <f t="shared" si="6"/>
        <v>[temple]132[/temple]</v>
      </c>
      <c r="M104" s="7" t="str">
        <f t="shared" si="7"/>
        <v>#REF!</v>
      </c>
      <c r="N104" s="7">
        <f t="shared" ref="N104:O104" si="109">B104-500</f>
        <v>249</v>
      </c>
      <c r="O104" s="7">
        <f t="shared" si="109"/>
        <v>55</v>
      </c>
    </row>
    <row r="105">
      <c r="A105" s="1">
        <v>128.0</v>
      </c>
      <c r="B105" s="2">
        <v>703.0</v>
      </c>
      <c r="C105" s="2">
        <v>656.0</v>
      </c>
      <c r="D105" s="2" t="s">
        <v>152</v>
      </c>
      <c r="E105" s="5">
        <v>76.0</v>
      </c>
      <c r="F105" s="2" t="s">
        <v>88</v>
      </c>
      <c r="H105" s="6" t="str">
        <f t="shared" si="2"/>
        <v>#REF!</v>
      </c>
      <c r="I105" s="7" t="str">
        <f t="shared" si="3"/>
        <v>#REF!</v>
      </c>
      <c r="J105" s="7" t="str">
        <f t="shared" si="4"/>
        <v>#REF!</v>
      </c>
      <c r="K105" s="8" t="str">
        <f t="shared" si="5"/>
        <v>#REF!</v>
      </c>
      <c r="L105" s="9" t="str">
        <f t="shared" si="6"/>
        <v>[temple]128[/temple]</v>
      </c>
      <c r="M105" s="7" t="str">
        <f t="shared" si="7"/>
        <v>#REF!</v>
      </c>
      <c r="N105" s="7">
        <f t="shared" ref="N105:O105" si="110">B105-500</f>
        <v>203</v>
      </c>
      <c r="O105" s="7">
        <f t="shared" si="110"/>
        <v>156</v>
      </c>
    </row>
    <row r="106">
      <c r="A106" s="1">
        <v>131.0</v>
      </c>
      <c r="B106" s="2">
        <v>349.0</v>
      </c>
      <c r="C106" s="2">
        <v>291.0</v>
      </c>
      <c r="D106" s="2" t="s">
        <v>153</v>
      </c>
      <c r="E106" s="5">
        <v>32.0</v>
      </c>
      <c r="F106" s="2" t="s">
        <v>24</v>
      </c>
      <c r="H106" s="6" t="str">
        <f t="shared" si="2"/>
        <v>#REF!</v>
      </c>
      <c r="I106" s="7" t="str">
        <f t="shared" si="3"/>
        <v>#REF!</v>
      </c>
      <c r="J106" s="7" t="str">
        <f t="shared" si="4"/>
        <v>#REF!</v>
      </c>
      <c r="K106" s="8" t="str">
        <f t="shared" si="5"/>
        <v>#REF!</v>
      </c>
      <c r="L106" s="9" t="str">
        <f t="shared" si="6"/>
        <v>[temple]131[/temple]</v>
      </c>
      <c r="M106" s="7" t="str">
        <f t="shared" si="7"/>
        <v>#REF!</v>
      </c>
      <c r="N106" s="7">
        <f t="shared" ref="N106:O106" si="111">B106-500</f>
        <v>-151</v>
      </c>
      <c r="O106" s="7">
        <f t="shared" si="111"/>
        <v>-209</v>
      </c>
    </row>
    <row r="107">
      <c r="A107" s="1">
        <v>145.0</v>
      </c>
      <c r="B107" s="2">
        <v>360.0</v>
      </c>
      <c r="C107" s="2">
        <v>717.0</v>
      </c>
      <c r="D107" s="2" t="s">
        <v>154</v>
      </c>
      <c r="E107" s="5">
        <v>37.0</v>
      </c>
      <c r="F107" s="2" t="s">
        <v>18</v>
      </c>
      <c r="H107" s="6" t="str">
        <f t="shared" si="2"/>
        <v>#REF!</v>
      </c>
      <c r="I107" s="7" t="str">
        <f t="shared" si="3"/>
        <v>#REF!</v>
      </c>
      <c r="J107" s="7" t="str">
        <f t="shared" si="4"/>
        <v>#REF!</v>
      </c>
      <c r="K107" s="8" t="str">
        <f t="shared" si="5"/>
        <v>#REF!</v>
      </c>
      <c r="L107" s="9" t="str">
        <f t="shared" si="6"/>
        <v>[temple]145[/temple]</v>
      </c>
      <c r="M107" s="7" t="str">
        <f t="shared" si="7"/>
        <v>#REF!</v>
      </c>
      <c r="N107" s="7">
        <f t="shared" ref="N107:O107" si="112">B107-500</f>
        <v>-140</v>
      </c>
      <c r="O107" s="7">
        <f t="shared" si="112"/>
        <v>217</v>
      </c>
    </row>
    <row r="108">
      <c r="A108" s="1">
        <v>34.0</v>
      </c>
      <c r="B108" s="2">
        <v>433.0</v>
      </c>
      <c r="C108" s="2">
        <v>408.0</v>
      </c>
      <c r="D108" s="2" t="s">
        <v>155</v>
      </c>
      <c r="E108" s="5">
        <v>44.0</v>
      </c>
      <c r="F108" s="2" t="s">
        <v>156</v>
      </c>
      <c r="H108" s="6" t="str">
        <f t="shared" si="2"/>
        <v>#REF!</v>
      </c>
      <c r="I108" s="7" t="str">
        <f t="shared" si="3"/>
        <v>#REF!</v>
      </c>
      <c r="J108" s="7" t="str">
        <f t="shared" si="4"/>
        <v>#REF!</v>
      </c>
      <c r="K108" s="8" t="str">
        <f t="shared" si="5"/>
        <v>#REF!</v>
      </c>
      <c r="L108" s="9" t="str">
        <f t="shared" si="6"/>
        <v>[temple]34[/temple]</v>
      </c>
      <c r="M108" s="7" t="str">
        <f t="shared" si="7"/>
        <v>#REF!</v>
      </c>
      <c r="N108" s="7">
        <f t="shared" ref="N108:O108" si="113">B108-500</f>
        <v>-67</v>
      </c>
      <c r="O108" s="7">
        <f t="shared" si="113"/>
        <v>-92</v>
      </c>
    </row>
    <row r="109">
      <c r="A109" s="1">
        <v>146.0</v>
      </c>
      <c r="B109" s="2">
        <v>726.0</v>
      </c>
      <c r="C109" s="2">
        <v>627.0</v>
      </c>
      <c r="D109" s="2" t="s">
        <v>157</v>
      </c>
      <c r="E109" s="5">
        <v>76.0</v>
      </c>
      <c r="F109" s="2" t="s">
        <v>20</v>
      </c>
      <c r="H109" s="6" t="str">
        <f t="shared" si="2"/>
        <v>#REF!</v>
      </c>
      <c r="I109" s="7" t="str">
        <f t="shared" si="3"/>
        <v>#REF!</v>
      </c>
      <c r="J109" s="7" t="str">
        <f t="shared" si="4"/>
        <v>#REF!</v>
      </c>
      <c r="K109" s="8" t="str">
        <f t="shared" si="5"/>
        <v>#REF!</v>
      </c>
      <c r="L109" s="9" t="str">
        <f t="shared" si="6"/>
        <v>[temple]146[/temple]</v>
      </c>
      <c r="M109" s="7" t="str">
        <f t="shared" si="7"/>
        <v>#REF!</v>
      </c>
      <c r="N109" s="7">
        <f t="shared" ref="N109:O109" si="114">B109-500</f>
        <v>226</v>
      </c>
      <c r="O109" s="7">
        <f t="shared" si="114"/>
        <v>127</v>
      </c>
    </row>
    <row r="110">
      <c r="A110" s="1">
        <v>134.0</v>
      </c>
      <c r="B110" s="2">
        <v>598.0</v>
      </c>
      <c r="C110" s="2">
        <v>259.0</v>
      </c>
      <c r="D110" s="2" t="s">
        <v>158</v>
      </c>
      <c r="E110" s="5">
        <v>52.0</v>
      </c>
      <c r="F110" s="2" t="s">
        <v>159</v>
      </c>
      <c r="H110" s="6" t="str">
        <f t="shared" si="2"/>
        <v>#REF!</v>
      </c>
      <c r="I110" s="7" t="str">
        <f t="shared" si="3"/>
        <v>#REF!</v>
      </c>
      <c r="J110" s="7" t="str">
        <f t="shared" si="4"/>
        <v>#REF!</v>
      </c>
      <c r="K110" s="8" t="str">
        <f t="shared" si="5"/>
        <v>#REF!</v>
      </c>
      <c r="L110" s="9" t="str">
        <f t="shared" si="6"/>
        <v>[temple]134[/temple]</v>
      </c>
      <c r="M110" s="7" t="str">
        <f t="shared" si="7"/>
        <v>#REF!</v>
      </c>
      <c r="N110" s="7">
        <f t="shared" ref="N110:O110" si="115">B110-500</f>
        <v>98</v>
      </c>
      <c r="O110" s="7">
        <f t="shared" si="115"/>
        <v>-241</v>
      </c>
    </row>
    <row r="111">
      <c r="A111" s="1">
        <v>130.0</v>
      </c>
      <c r="B111" s="2">
        <v>281.0</v>
      </c>
      <c r="C111" s="2">
        <v>641.0</v>
      </c>
      <c r="D111" s="2" t="s">
        <v>160</v>
      </c>
      <c r="E111" s="5">
        <v>26.0</v>
      </c>
      <c r="F111" s="2" t="s">
        <v>24</v>
      </c>
      <c r="H111" s="6" t="str">
        <f t="shared" si="2"/>
        <v>#REF!</v>
      </c>
      <c r="I111" s="7" t="str">
        <f t="shared" si="3"/>
        <v>#REF!</v>
      </c>
      <c r="J111" s="7" t="str">
        <f t="shared" si="4"/>
        <v>#REF!</v>
      </c>
      <c r="K111" s="8" t="str">
        <f t="shared" si="5"/>
        <v>#REF!</v>
      </c>
      <c r="L111" s="9" t="str">
        <f t="shared" si="6"/>
        <v>[temple]130[/temple]</v>
      </c>
      <c r="M111" s="7" t="str">
        <f t="shared" si="7"/>
        <v>#REF!</v>
      </c>
      <c r="N111" s="7">
        <f t="shared" ref="N111:O111" si="116">B111-500</f>
        <v>-219</v>
      </c>
      <c r="O111" s="7">
        <f t="shared" si="116"/>
        <v>141</v>
      </c>
    </row>
    <row r="112">
      <c r="A112" s="1">
        <v>147.0</v>
      </c>
      <c r="B112" s="2">
        <v>741.0</v>
      </c>
      <c r="C112" s="2">
        <v>600.0</v>
      </c>
      <c r="D112" s="2" t="s">
        <v>161</v>
      </c>
      <c r="E112" s="1">
        <v>76.0</v>
      </c>
      <c r="F112" s="2" t="s">
        <v>24</v>
      </c>
      <c r="H112" s="6" t="str">
        <f t="shared" si="2"/>
        <v>#REF!</v>
      </c>
      <c r="I112" s="7" t="str">
        <f t="shared" si="3"/>
        <v>#REF!</v>
      </c>
      <c r="J112" s="7" t="str">
        <f t="shared" si="4"/>
        <v>#REF!</v>
      </c>
      <c r="K112" s="8" t="str">
        <f t="shared" si="5"/>
        <v>#REF!</v>
      </c>
      <c r="L112" s="9" t="str">
        <f t="shared" si="6"/>
        <v>[temple]147[/temple]</v>
      </c>
      <c r="M112" s="7" t="str">
        <f t="shared" si="7"/>
        <v>#REF!</v>
      </c>
      <c r="N112" s="7">
        <f t="shared" ref="N112:O112" si="117">B112-500</f>
        <v>241</v>
      </c>
      <c r="O112" s="7">
        <f t="shared" si="117"/>
        <v>100</v>
      </c>
    </row>
    <row r="113">
      <c r="A113" s="1">
        <v>143.0</v>
      </c>
      <c r="B113" s="2">
        <v>239.0</v>
      </c>
      <c r="C113" s="2">
        <v>505.0</v>
      </c>
      <c r="D113" s="2" t="s">
        <v>162</v>
      </c>
      <c r="E113" s="5">
        <v>25.0</v>
      </c>
      <c r="F113" s="2" t="s">
        <v>24</v>
      </c>
      <c r="H113" s="6" t="str">
        <f t="shared" si="2"/>
        <v>#REF!</v>
      </c>
      <c r="I113" s="7" t="str">
        <f t="shared" si="3"/>
        <v>#REF!</v>
      </c>
      <c r="J113" s="7" t="str">
        <f t="shared" si="4"/>
        <v>#REF!</v>
      </c>
      <c r="K113" s="8" t="str">
        <f t="shared" si="5"/>
        <v>#REF!</v>
      </c>
      <c r="L113" s="9" t="str">
        <f t="shared" si="6"/>
        <v>[temple]143[/temple]</v>
      </c>
      <c r="M113" s="7" t="str">
        <f t="shared" si="7"/>
        <v>#REF!</v>
      </c>
      <c r="N113" s="7">
        <f t="shared" ref="N113:O113" si="118">B113-500</f>
        <v>-261</v>
      </c>
      <c r="O113" s="7">
        <f t="shared" si="118"/>
        <v>5</v>
      </c>
    </row>
    <row r="114">
      <c r="A114" s="1">
        <v>135.0</v>
      </c>
      <c r="B114" s="2">
        <v>755.0</v>
      </c>
      <c r="C114" s="2">
        <v>444.0</v>
      </c>
      <c r="D114" s="2" t="s">
        <v>163</v>
      </c>
      <c r="E114" s="5">
        <v>74.0</v>
      </c>
      <c r="F114" s="2" t="s">
        <v>24</v>
      </c>
      <c r="H114" s="6" t="str">
        <f t="shared" si="2"/>
        <v>#REF!</v>
      </c>
      <c r="I114" s="7" t="str">
        <f t="shared" si="3"/>
        <v>#REF!</v>
      </c>
      <c r="J114" s="7" t="str">
        <f t="shared" si="4"/>
        <v>#REF!</v>
      </c>
      <c r="K114" s="8" t="str">
        <f t="shared" si="5"/>
        <v>#REF!</v>
      </c>
      <c r="L114" s="9" t="str">
        <f t="shared" si="6"/>
        <v>[temple]135[/temple]</v>
      </c>
      <c r="M114" s="7" t="str">
        <f t="shared" si="7"/>
        <v>#REF!</v>
      </c>
      <c r="N114" s="7">
        <f t="shared" ref="N114:O114" si="119">B114-500</f>
        <v>255</v>
      </c>
      <c r="O114" s="7">
        <f t="shared" si="119"/>
        <v>-56</v>
      </c>
    </row>
    <row r="115">
      <c r="A115" s="1">
        <v>19.0</v>
      </c>
      <c r="B115" s="2">
        <v>602.0</v>
      </c>
      <c r="C115" s="2">
        <v>543.0</v>
      </c>
      <c r="D115" s="2" t="s">
        <v>164</v>
      </c>
      <c r="E115" s="5">
        <v>65.0</v>
      </c>
      <c r="F115" s="2" t="s">
        <v>22</v>
      </c>
      <c r="H115" s="6" t="str">
        <f t="shared" si="2"/>
        <v>#REF!</v>
      </c>
      <c r="I115" s="7" t="str">
        <f t="shared" si="3"/>
        <v>#REF!</v>
      </c>
      <c r="J115" s="7" t="str">
        <f t="shared" si="4"/>
        <v>#REF!</v>
      </c>
      <c r="K115" s="8" t="str">
        <f t="shared" si="5"/>
        <v>#REF!</v>
      </c>
      <c r="L115" s="9" t="str">
        <f t="shared" si="6"/>
        <v>[temple]19[/temple]</v>
      </c>
      <c r="M115" s="7" t="str">
        <f t="shared" si="7"/>
        <v>#REF!</v>
      </c>
      <c r="N115" s="7">
        <f t="shared" ref="N115:O115" si="120">B115-500</f>
        <v>102</v>
      </c>
      <c r="O115" s="7">
        <f t="shared" si="120"/>
        <v>43</v>
      </c>
    </row>
    <row r="116">
      <c r="A116" s="1">
        <v>21.0</v>
      </c>
      <c r="B116" s="2">
        <v>577.0</v>
      </c>
      <c r="C116" s="2">
        <v>422.0</v>
      </c>
      <c r="D116" s="2" t="s">
        <v>165</v>
      </c>
      <c r="E116" s="5">
        <v>54.0</v>
      </c>
      <c r="F116" s="2" t="s">
        <v>73</v>
      </c>
      <c r="H116" s="6" t="str">
        <f t="shared" si="2"/>
        <v>#REF!</v>
      </c>
      <c r="I116" s="7" t="str">
        <f t="shared" si="3"/>
        <v>#REF!</v>
      </c>
      <c r="J116" s="7" t="str">
        <f t="shared" si="4"/>
        <v>#REF!</v>
      </c>
      <c r="K116" s="8" t="str">
        <f t="shared" si="5"/>
        <v>#REF!</v>
      </c>
      <c r="L116" s="9" t="str">
        <f t="shared" si="6"/>
        <v>[temple]21[/temple]</v>
      </c>
      <c r="M116" s="7" t="str">
        <f t="shared" si="7"/>
        <v>#REF!</v>
      </c>
      <c r="N116" s="7">
        <f t="shared" ref="N116:O116" si="121">B116-500</f>
        <v>77</v>
      </c>
      <c r="O116" s="7">
        <f t="shared" si="121"/>
        <v>-78</v>
      </c>
    </row>
    <row r="117">
      <c r="A117" s="1">
        <v>150.0</v>
      </c>
      <c r="B117" s="2">
        <v>743.0</v>
      </c>
      <c r="C117" s="2">
        <v>400.0</v>
      </c>
      <c r="D117" s="1" t="s">
        <v>166</v>
      </c>
      <c r="E117" s="5">
        <v>74.0</v>
      </c>
      <c r="F117" s="2" t="s">
        <v>22</v>
      </c>
      <c r="H117" s="6" t="str">
        <f t="shared" si="2"/>
        <v>#REF!</v>
      </c>
      <c r="I117" s="7" t="str">
        <f t="shared" si="3"/>
        <v>#REF!</v>
      </c>
      <c r="J117" s="7" t="str">
        <f t="shared" si="4"/>
        <v>#REF!</v>
      </c>
      <c r="K117" s="8" t="str">
        <f t="shared" si="5"/>
        <v>#REF!</v>
      </c>
      <c r="L117" s="9" t="str">
        <f t="shared" si="6"/>
        <v>[temple]150[/temple]</v>
      </c>
      <c r="M117" s="7" t="str">
        <f t="shared" si="7"/>
        <v>#REF!</v>
      </c>
      <c r="N117" s="7">
        <f t="shared" ref="N117:O117" si="122">B117-500</f>
        <v>243</v>
      </c>
      <c r="O117" s="7">
        <f t="shared" si="122"/>
        <v>-100</v>
      </c>
    </row>
    <row r="118">
      <c r="A118" s="1">
        <v>24.0</v>
      </c>
      <c r="B118" s="2">
        <v>469.0</v>
      </c>
      <c r="C118" s="2">
        <v>396.0</v>
      </c>
      <c r="D118" s="2" t="s">
        <v>167</v>
      </c>
      <c r="E118" s="5">
        <v>43.0</v>
      </c>
      <c r="F118" s="2" t="s">
        <v>24</v>
      </c>
      <c r="H118" s="6" t="str">
        <f t="shared" si="2"/>
        <v>#REF!</v>
      </c>
      <c r="I118" s="7" t="str">
        <f t="shared" si="3"/>
        <v>#REF!</v>
      </c>
      <c r="J118" s="7" t="str">
        <f t="shared" si="4"/>
        <v>#REF!</v>
      </c>
      <c r="K118" s="8" t="str">
        <f t="shared" si="5"/>
        <v>#REF!</v>
      </c>
      <c r="L118" s="9" t="str">
        <f t="shared" si="6"/>
        <v>[temple]24[/temple]</v>
      </c>
      <c r="M118" s="7" t="str">
        <f t="shared" si="7"/>
        <v>#REF!</v>
      </c>
      <c r="N118" s="7">
        <f t="shared" ref="N118:O118" si="123">B118-500</f>
        <v>-31</v>
      </c>
      <c r="O118" s="7">
        <f t="shared" si="123"/>
        <v>-104</v>
      </c>
    </row>
    <row r="119">
      <c r="A119" s="1">
        <v>127.0</v>
      </c>
      <c r="B119" s="2">
        <v>244.0</v>
      </c>
      <c r="C119" s="2">
        <v>437.0</v>
      </c>
      <c r="D119" s="2" t="s">
        <v>168</v>
      </c>
      <c r="E119" s="5">
        <v>24.0</v>
      </c>
      <c r="F119" s="2" t="s">
        <v>100</v>
      </c>
      <c r="H119" s="6" t="str">
        <f t="shared" si="2"/>
        <v>#REF!</v>
      </c>
      <c r="I119" s="7" t="str">
        <f t="shared" si="3"/>
        <v>#REF!</v>
      </c>
      <c r="J119" s="7" t="str">
        <f t="shared" si="4"/>
        <v>#REF!</v>
      </c>
      <c r="K119" s="8" t="str">
        <f t="shared" si="5"/>
        <v>#REF!</v>
      </c>
      <c r="L119" s="9" t="str">
        <f t="shared" si="6"/>
        <v>[temple]127[/temple]</v>
      </c>
      <c r="M119" s="7" t="str">
        <f t="shared" si="7"/>
        <v>#REF!</v>
      </c>
      <c r="N119" s="7">
        <f t="shared" ref="N119:O119" si="124">B119-500</f>
        <v>-256</v>
      </c>
      <c r="O119" s="7">
        <f t="shared" si="124"/>
        <v>-63</v>
      </c>
    </row>
    <row r="120">
      <c r="A120" s="1">
        <v>148.0</v>
      </c>
      <c r="B120" s="2">
        <v>560.0</v>
      </c>
      <c r="C120" s="2">
        <v>758.0</v>
      </c>
      <c r="D120" s="2" t="s">
        <v>169</v>
      </c>
      <c r="E120" s="5">
        <v>57.0</v>
      </c>
      <c r="F120" s="2" t="s">
        <v>170</v>
      </c>
      <c r="H120" s="6" t="str">
        <f t="shared" si="2"/>
        <v>#REF!</v>
      </c>
      <c r="I120" s="7" t="str">
        <f t="shared" si="3"/>
        <v>#REF!</v>
      </c>
      <c r="J120" s="7" t="str">
        <f t="shared" si="4"/>
        <v>#REF!</v>
      </c>
      <c r="K120" s="8" t="str">
        <f t="shared" si="5"/>
        <v>#REF!</v>
      </c>
      <c r="L120" s="9" t="str">
        <f t="shared" si="6"/>
        <v>[temple]148[/temple]</v>
      </c>
      <c r="M120" s="7" t="str">
        <f t="shared" si="7"/>
        <v>#REF!</v>
      </c>
      <c r="N120" s="7">
        <f t="shared" ref="N120:O120" si="125">B120-500</f>
        <v>60</v>
      </c>
      <c r="O120" s="7">
        <f t="shared" si="125"/>
        <v>258</v>
      </c>
    </row>
    <row r="121">
      <c r="A121" s="1">
        <v>22.0</v>
      </c>
      <c r="B121" s="2">
        <v>607.0</v>
      </c>
      <c r="C121" s="2">
        <v>496.0</v>
      </c>
      <c r="D121" s="2" t="s">
        <v>171</v>
      </c>
      <c r="E121" s="5">
        <v>64.0</v>
      </c>
      <c r="F121" s="2" t="s">
        <v>24</v>
      </c>
      <c r="H121" s="6" t="str">
        <f t="shared" si="2"/>
        <v>#REF!</v>
      </c>
      <c r="I121" s="7" t="str">
        <f t="shared" si="3"/>
        <v>#REF!</v>
      </c>
      <c r="J121" s="7" t="str">
        <f t="shared" si="4"/>
        <v>#REF!</v>
      </c>
      <c r="K121" s="8" t="str">
        <f t="shared" si="5"/>
        <v>#REF!</v>
      </c>
      <c r="L121" s="9" t="str">
        <f t="shared" si="6"/>
        <v>[temple]22[/temple]</v>
      </c>
      <c r="M121" s="7" t="str">
        <f t="shared" si="7"/>
        <v>#REF!</v>
      </c>
      <c r="N121" s="7">
        <f t="shared" ref="N121:O121" si="126">B121-500</f>
        <v>107</v>
      </c>
      <c r="O121" s="7">
        <f t="shared" si="126"/>
        <v>-4</v>
      </c>
    </row>
    <row r="122">
      <c r="A122" s="1">
        <v>140.0</v>
      </c>
      <c r="B122" s="2">
        <v>491.0</v>
      </c>
      <c r="C122" s="2">
        <v>765.0</v>
      </c>
      <c r="D122" s="2" t="s">
        <v>172</v>
      </c>
      <c r="E122" s="5">
        <v>47.0</v>
      </c>
      <c r="F122" s="2" t="s">
        <v>122</v>
      </c>
      <c r="H122" s="6" t="str">
        <f t="shared" si="2"/>
        <v>#REF!</v>
      </c>
      <c r="I122" s="7" t="str">
        <f t="shared" si="3"/>
        <v>#REF!</v>
      </c>
      <c r="J122" s="7" t="str">
        <f t="shared" si="4"/>
        <v>#REF!</v>
      </c>
      <c r="K122" s="8" t="str">
        <f t="shared" si="5"/>
        <v>#REF!</v>
      </c>
      <c r="L122" s="9" t="str">
        <f t="shared" si="6"/>
        <v>[temple]140[/temple]</v>
      </c>
      <c r="M122" s="7" t="str">
        <f t="shared" si="7"/>
        <v>#REF!</v>
      </c>
      <c r="N122" s="7">
        <f t="shared" ref="N122:O122" si="127">B122-500</f>
        <v>-9</v>
      </c>
      <c r="O122" s="7">
        <f t="shared" si="127"/>
        <v>265</v>
      </c>
    </row>
    <row r="123">
      <c r="A123" s="1">
        <v>17.0</v>
      </c>
      <c r="B123" s="2">
        <v>534.0</v>
      </c>
      <c r="C123" s="2">
        <v>601.0</v>
      </c>
      <c r="D123" s="2" t="s">
        <v>173</v>
      </c>
      <c r="E123" s="5">
        <v>56.0</v>
      </c>
      <c r="F123" s="2" t="s">
        <v>174</v>
      </c>
      <c r="H123" s="6" t="str">
        <f t="shared" si="2"/>
        <v>#REF!</v>
      </c>
      <c r="I123" s="7" t="str">
        <f t="shared" si="3"/>
        <v>#REF!</v>
      </c>
      <c r="J123" s="7" t="str">
        <f t="shared" si="4"/>
        <v>#REF!</v>
      </c>
      <c r="K123" s="8" t="str">
        <f t="shared" si="5"/>
        <v>#REF!</v>
      </c>
      <c r="L123" s="9" t="str">
        <f t="shared" si="6"/>
        <v>[temple]17[/temple]</v>
      </c>
      <c r="M123" s="7" t="str">
        <f t="shared" si="7"/>
        <v>#REF!</v>
      </c>
      <c r="N123" s="7">
        <f t="shared" ref="N123:O123" si="128">B123-500</f>
        <v>34</v>
      </c>
      <c r="O123" s="7">
        <f t="shared" si="128"/>
        <v>101</v>
      </c>
    </row>
    <row r="124">
      <c r="A124" s="1">
        <v>129.0</v>
      </c>
      <c r="B124" s="2">
        <v>651.0</v>
      </c>
      <c r="C124" s="2">
        <v>280.0</v>
      </c>
      <c r="D124" s="2" t="s">
        <v>175</v>
      </c>
      <c r="E124" s="5">
        <v>62.0</v>
      </c>
      <c r="F124" s="2" t="s">
        <v>18</v>
      </c>
      <c r="H124" s="6" t="str">
        <f t="shared" si="2"/>
        <v>#REF!</v>
      </c>
      <c r="I124" s="7" t="str">
        <f t="shared" si="3"/>
        <v>#REF!</v>
      </c>
      <c r="J124" s="7" t="str">
        <f t="shared" si="4"/>
        <v>#REF!</v>
      </c>
      <c r="K124" s="8" t="str">
        <f t="shared" si="5"/>
        <v>#REF!</v>
      </c>
      <c r="L124" s="9" t="str">
        <f t="shared" si="6"/>
        <v>[temple]129[/temple]</v>
      </c>
      <c r="M124" s="7" t="str">
        <f t="shared" si="7"/>
        <v>#REF!</v>
      </c>
      <c r="N124" s="7">
        <f t="shared" ref="N124:O124" si="129">B124-500</f>
        <v>151</v>
      </c>
      <c r="O124" s="7">
        <f t="shared" si="129"/>
        <v>-220</v>
      </c>
    </row>
    <row r="125">
      <c r="A125" s="1">
        <v>23.0</v>
      </c>
      <c r="B125" s="2">
        <v>397.0</v>
      </c>
      <c r="C125" s="2">
        <v>521.0</v>
      </c>
      <c r="D125" s="2" t="s">
        <v>176</v>
      </c>
      <c r="E125" s="5">
        <v>35.0</v>
      </c>
      <c r="F125" s="2" t="s">
        <v>24</v>
      </c>
      <c r="H125" s="6" t="str">
        <f t="shared" si="2"/>
        <v>#REF!</v>
      </c>
      <c r="I125" s="7" t="str">
        <f t="shared" si="3"/>
        <v>#REF!</v>
      </c>
      <c r="J125" s="7" t="str">
        <f t="shared" si="4"/>
        <v>#REF!</v>
      </c>
      <c r="K125" s="8" t="str">
        <f t="shared" si="5"/>
        <v>#REF!</v>
      </c>
      <c r="L125" s="9" t="str">
        <f t="shared" si="6"/>
        <v>[temple]23[/temple]</v>
      </c>
      <c r="M125" s="7" t="str">
        <f t="shared" si="7"/>
        <v>#REF!</v>
      </c>
      <c r="N125" s="7">
        <f t="shared" ref="N125:O125" si="130">B125-500</f>
        <v>-103</v>
      </c>
      <c r="O125" s="7">
        <f t="shared" si="130"/>
        <v>21</v>
      </c>
    </row>
    <row r="126">
      <c r="A126" s="1">
        <v>136.0</v>
      </c>
      <c r="B126" s="2">
        <v>727.0</v>
      </c>
      <c r="C126" s="2">
        <v>358.0</v>
      </c>
      <c r="D126" s="2" t="s">
        <v>177</v>
      </c>
      <c r="E126" s="5">
        <v>73.0</v>
      </c>
      <c r="F126" s="2" t="s">
        <v>73</v>
      </c>
      <c r="H126" s="6" t="str">
        <f t="shared" si="2"/>
        <v>#REF!</v>
      </c>
      <c r="I126" s="7" t="str">
        <f t="shared" si="3"/>
        <v>#REF!</v>
      </c>
      <c r="J126" s="7" t="str">
        <f t="shared" si="4"/>
        <v>#REF!</v>
      </c>
      <c r="K126" s="8" t="str">
        <f t="shared" si="5"/>
        <v>#REF!</v>
      </c>
      <c r="L126" s="9" t="str">
        <f t="shared" si="6"/>
        <v>[temple]136[/temple]</v>
      </c>
      <c r="M126" s="7" t="str">
        <f t="shared" si="7"/>
        <v>#REF!</v>
      </c>
      <c r="N126" s="7">
        <f t="shared" ref="N126:O126" si="131">B126-500</f>
        <v>227</v>
      </c>
      <c r="O126" s="7">
        <f t="shared" si="131"/>
        <v>-142</v>
      </c>
    </row>
    <row r="127">
      <c r="A127" s="1">
        <v>149.0</v>
      </c>
      <c r="B127" s="2">
        <v>570.0</v>
      </c>
      <c r="C127" s="2">
        <v>241.0</v>
      </c>
      <c r="D127" s="2" t="s">
        <v>178</v>
      </c>
      <c r="E127" s="5">
        <v>52.0</v>
      </c>
      <c r="F127" s="2" t="s">
        <v>24</v>
      </c>
      <c r="H127" s="6" t="str">
        <f t="shared" si="2"/>
        <v>#REF!</v>
      </c>
      <c r="I127" s="7" t="str">
        <f t="shared" si="3"/>
        <v>#REF!</v>
      </c>
      <c r="J127" s="7" t="str">
        <f t="shared" si="4"/>
        <v>#REF!</v>
      </c>
      <c r="K127" s="8" t="str">
        <f t="shared" si="5"/>
        <v>#REF!</v>
      </c>
      <c r="L127" s="9" t="str">
        <f t="shared" si="6"/>
        <v>[temple]149[/temple]</v>
      </c>
      <c r="M127" s="7" t="str">
        <f t="shared" si="7"/>
        <v>#REF!</v>
      </c>
      <c r="N127" s="7">
        <f t="shared" ref="N127:O127" si="132">B127-500</f>
        <v>70</v>
      </c>
      <c r="O127" s="7">
        <f t="shared" si="132"/>
        <v>-259</v>
      </c>
    </row>
    <row r="128">
      <c r="A128" s="1">
        <v>20.0</v>
      </c>
      <c r="B128" s="2">
        <v>410.0</v>
      </c>
      <c r="C128" s="2">
        <v>551.0</v>
      </c>
      <c r="D128" s="2" t="s">
        <v>179</v>
      </c>
      <c r="E128" s="5">
        <v>45.0</v>
      </c>
      <c r="F128" s="2" t="s">
        <v>24</v>
      </c>
      <c r="H128" s="6" t="str">
        <f t="shared" si="2"/>
        <v>#REF!</v>
      </c>
      <c r="I128" s="7" t="str">
        <f t="shared" si="3"/>
        <v>#REF!</v>
      </c>
      <c r="J128" s="7" t="str">
        <f t="shared" si="4"/>
        <v>#REF!</v>
      </c>
      <c r="K128" s="8" t="str">
        <f t="shared" si="5"/>
        <v>#REF!</v>
      </c>
      <c r="L128" s="9" t="str">
        <f t="shared" si="6"/>
        <v>[temple]20[/temple]</v>
      </c>
      <c r="M128" s="7" t="str">
        <f t="shared" si="7"/>
        <v>#REF!</v>
      </c>
      <c r="N128" s="7">
        <f t="shared" ref="N128:O128" si="133">B128-500</f>
        <v>-90</v>
      </c>
      <c r="O128" s="7">
        <f t="shared" si="133"/>
        <v>51</v>
      </c>
    </row>
    <row r="129">
      <c r="A129" s="1">
        <v>142.0</v>
      </c>
      <c r="B129" s="2">
        <v>294.0</v>
      </c>
      <c r="C129" s="2">
        <v>327.0</v>
      </c>
      <c r="D129" s="2" t="s">
        <v>180</v>
      </c>
      <c r="E129" s="5">
        <v>23.0</v>
      </c>
      <c r="F129" s="2" t="s">
        <v>24</v>
      </c>
      <c r="H129" s="6" t="str">
        <f t="shared" si="2"/>
        <v>#REF!</v>
      </c>
      <c r="I129" s="7" t="str">
        <f t="shared" si="3"/>
        <v>#REF!</v>
      </c>
      <c r="J129" s="7" t="str">
        <f t="shared" si="4"/>
        <v>#REF!</v>
      </c>
      <c r="K129" s="8" t="str">
        <f t="shared" si="5"/>
        <v>#REF!</v>
      </c>
      <c r="L129" s="9" t="str">
        <f t="shared" si="6"/>
        <v>[temple]142[/temple]</v>
      </c>
      <c r="M129" s="7" t="str">
        <f t="shared" si="7"/>
        <v>#REF!</v>
      </c>
      <c r="N129" s="7">
        <f t="shared" ref="N129:O129" si="134">B129-500</f>
        <v>-206</v>
      </c>
      <c r="O129" s="7">
        <f t="shared" si="134"/>
        <v>-173</v>
      </c>
    </row>
    <row r="130">
      <c r="A130" s="1">
        <v>139.0</v>
      </c>
      <c r="B130" s="2">
        <v>533.0</v>
      </c>
      <c r="C130" s="2">
        <v>767.0</v>
      </c>
      <c r="D130" s="1" t="s">
        <v>181</v>
      </c>
      <c r="E130" s="5">
        <v>57.0</v>
      </c>
      <c r="F130" s="2" t="s">
        <v>24</v>
      </c>
      <c r="H130" s="6" t="str">
        <f t="shared" si="2"/>
        <v>#REF!</v>
      </c>
      <c r="I130" s="7" t="str">
        <f t="shared" si="3"/>
        <v>#REF!</v>
      </c>
      <c r="J130" s="7" t="str">
        <f t="shared" si="4"/>
        <v>#REF!</v>
      </c>
      <c r="K130" s="8" t="str">
        <f t="shared" si="5"/>
        <v>#REF!</v>
      </c>
      <c r="L130" s="9" t="str">
        <f t="shared" si="6"/>
        <v>[temple]139[/temple]</v>
      </c>
      <c r="M130" s="7" t="str">
        <f t="shared" si="7"/>
        <v>#REF!</v>
      </c>
      <c r="N130" s="7">
        <f t="shared" ref="N130:O130" si="135">B130-500</f>
        <v>33</v>
      </c>
      <c r="O130" s="7">
        <f t="shared" si="135"/>
        <v>267</v>
      </c>
    </row>
    <row r="131">
      <c r="A131" s="1">
        <v>133.0</v>
      </c>
      <c r="B131" s="2">
        <v>399.0</v>
      </c>
      <c r="C131" s="2">
        <v>249.0</v>
      </c>
      <c r="D131" s="2" t="s">
        <v>182</v>
      </c>
      <c r="E131" s="5">
        <v>32.0</v>
      </c>
      <c r="F131" s="2" t="s">
        <v>159</v>
      </c>
      <c r="H131" s="6" t="str">
        <f t="shared" si="2"/>
        <v>#REF!</v>
      </c>
      <c r="I131" s="7" t="str">
        <f t="shared" si="3"/>
        <v>#REF!</v>
      </c>
      <c r="J131" s="7" t="str">
        <f t="shared" si="4"/>
        <v>#REF!</v>
      </c>
      <c r="K131" s="8" t="str">
        <f t="shared" si="5"/>
        <v>#REF!</v>
      </c>
      <c r="L131" s="9" t="str">
        <f t="shared" si="6"/>
        <v>[temple]133[/temple]</v>
      </c>
      <c r="M131" s="7" t="str">
        <f t="shared" si="7"/>
        <v>#REF!</v>
      </c>
      <c r="N131" s="7">
        <f t="shared" ref="N131:O131" si="136">B131-500</f>
        <v>-101</v>
      </c>
      <c r="O131" s="7">
        <f t="shared" si="136"/>
        <v>-251</v>
      </c>
    </row>
    <row r="132">
      <c r="A132" s="1">
        <v>137.0</v>
      </c>
      <c r="B132" s="2">
        <v>769.0</v>
      </c>
      <c r="C132" s="2">
        <v>468.0</v>
      </c>
      <c r="D132" s="2" t="s">
        <v>183</v>
      </c>
      <c r="E132" s="5">
        <v>74.0</v>
      </c>
      <c r="F132" s="2" t="s">
        <v>109</v>
      </c>
      <c r="H132" s="6" t="str">
        <f t="shared" si="2"/>
        <v>#REF!</v>
      </c>
      <c r="I132" s="7" t="str">
        <f t="shared" si="3"/>
        <v>#REF!</v>
      </c>
      <c r="J132" s="7" t="str">
        <f t="shared" si="4"/>
        <v>#REF!</v>
      </c>
      <c r="K132" s="8" t="str">
        <f t="shared" si="5"/>
        <v>#REF!</v>
      </c>
      <c r="L132" s="9" t="str">
        <f t="shared" si="6"/>
        <v>[temple]137[/temple]</v>
      </c>
      <c r="M132" s="7" t="str">
        <f t="shared" si="7"/>
        <v>#REF!</v>
      </c>
      <c r="N132" s="7">
        <f t="shared" ref="N132:O132" si="137">B132-500</f>
        <v>269</v>
      </c>
      <c r="O132" s="7">
        <f t="shared" si="137"/>
        <v>-32</v>
      </c>
    </row>
    <row r="133">
      <c r="A133" s="1">
        <v>25.0</v>
      </c>
      <c r="B133" s="2">
        <v>480.0</v>
      </c>
      <c r="C133" s="2">
        <v>599.0</v>
      </c>
      <c r="D133" s="2" t="s">
        <v>184</v>
      </c>
      <c r="E133" s="5">
        <v>45.0</v>
      </c>
      <c r="F133" s="2" t="s">
        <v>83</v>
      </c>
      <c r="H133" s="6" t="str">
        <f t="shared" si="2"/>
        <v>#REF!</v>
      </c>
      <c r="I133" s="7" t="str">
        <f t="shared" si="3"/>
        <v>#REF!</v>
      </c>
      <c r="J133" s="7" t="str">
        <f t="shared" si="4"/>
        <v>#REF!</v>
      </c>
      <c r="K133" s="8" t="str">
        <f t="shared" si="5"/>
        <v>#REF!</v>
      </c>
      <c r="L133" s="9" t="str">
        <f t="shared" si="6"/>
        <v>[temple]25[/temple]</v>
      </c>
      <c r="M133" s="7" t="str">
        <f t="shared" si="7"/>
        <v>#REF!</v>
      </c>
      <c r="N133" s="7">
        <f t="shared" ref="N133:O133" si="138">B133-500</f>
        <v>-20</v>
      </c>
      <c r="O133" s="7">
        <f t="shared" si="138"/>
        <v>99</v>
      </c>
    </row>
    <row r="134">
      <c r="A134" s="1">
        <v>144.0</v>
      </c>
      <c r="B134" s="2">
        <v>331.0</v>
      </c>
      <c r="C134" s="2">
        <v>712.0</v>
      </c>
      <c r="D134" s="1" t="s">
        <v>185</v>
      </c>
      <c r="E134" s="5">
        <v>37.0</v>
      </c>
      <c r="F134" s="2" t="s">
        <v>54</v>
      </c>
      <c r="H134" s="6" t="str">
        <f t="shared" si="2"/>
        <v>#REF!</v>
      </c>
      <c r="I134" s="7" t="str">
        <f t="shared" si="3"/>
        <v>#REF!</v>
      </c>
      <c r="J134" s="7" t="str">
        <f t="shared" si="4"/>
        <v>#REF!</v>
      </c>
      <c r="K134" s="8" t="str">
        <f t="shared" si="5"/>
        <v>#REF!</v>
      </c>
      <c r="L134" s="9" t="str">
        <f t="shared" si="6"/>
        <v>[temple]144[/temple]</v>
      </c>
      <c r="M134" s="7" t="str">
        <f t="shared" si="7"/>
        <v>#REF!</v>
      </c>
      <c r="N134" s="7">
        <f t="shared" ref="N134:O134" si="139">B134-500</f>
        <v>-169</v>
      </c>
      <c r="O134" s="7">
        <f t="shared" si="139"/>
        <v>212</v>
      </c>
    </row>
    <row r="135">
      <c r="A135" s="1">
        <v>18.0</v>
      </c>
      <c r="B135" s="2">
        <v>452.0</v>
      </c>
      <c r="C135" s="2">
        <v>588.0</v>
      </c>
      <c r="D135" s="1" t="s">
        <v>186</v>
      </c>
      <c r="E135" s="5">
        <v>45.0</v>
      </c>
      <c r="F135" s="2" t="s">
        <v>102</v>
      </c>
      <c r="H135" s="6" t="str">
        <f t="shared" si="2"/>
        <v>#REF!</v>
      </c>
      <c r="I135" s="7" t="str">
        <f t="shared" si="3"/>
        <v>#REF!</v>
      </c>
      <c r="J135" s="7" t="str">
        <f t="shared" si="4"/>
        <v>#REF!</v>
      </c>
      <c r="K135" s="8" t="str">
        <f t="shared" si="5"/>
        <v>#REF!</v>
      </c>
      <c r="L135" s="9" t="str">
        <f t="shared" si="6"/>
        <v>[temple]18[/temple]</v>
      </c>
      <c r="M135" s="7" t="str">
        <f t="shared" si="7"/>
        <v>#REF!</v>
      </c>
      <c r="N135" s="7">
        <f t="shared" ref="N135:O135" si="140">B135-500</f>
        <v>-48</v>
      </c>
      <c r="O135" s="7">
        <f t="shared" si="140"/>
        <v>88</v>
      </c>
    </row>
    <row r="136">
      <c r="A136" s="1">
        <v>12.0</v>
      </c>
      <c r="B136" s="2">
        <v>441.0</v>
      </c>
      <c r="C136" s="2">
        <v>440.0</v>
      </c>
      <c r="D136" s="2" t="s">
        <v>187</v>
      </c>
      <c r="E136" s="5">
        <v>44.0</v>
      </c>
      <c r="F136" s="2" t="s">
        <v>24</v>
      </c>
      <c r="H136" s="6" t="str">
        <f t="shared" si="2"/>
        <v>#REF!</v>
      </c>
      <c r="I136" s="7" t="str">
        <f t="shared" si="3"/>
        <v>#REF!</v>
      </c>
      <c r="J136" s="7" t="str">
        <f t="shared" si="4"/>
        <v>#REF!</v>
      </c>
      <c r="K136" s="8" t="str">
        <f t="shared" si="5"/>
        <v>#REF!</v>
      </c>
      <c r="L136" s="9" t="str">
        <f t="shared" si="6"/>
        <v>[temple]12[/temple]</v>
      </c>
      <c r="M136" s="7" t="str">
        <f t="shared" si="7"/>
        <v>#REF!</v>
      </c>
      <c r="N136" s="7">
        <f t="shared" ref="N136:O136" si="141">B136-500</f>
        <v>-59</v>
      </c>
      <c r="O136" s="7">
        <f t="shared" si="141"/>
        <v>-60</v>
      </c>
    </row>
    <row r="137">
      <c r="A137" s="1">
        <v>16.0</v>
      </c>
      <c r="B137" s="2">
        <v>422.0</v>
      </c>
      <c r="C137" s="2">
        <v>470.0</v>
      </c>
      <c r="D137" s="2" t="s">
        <v>188</v>
      </c>
      <c r="E137" s="5">
        <v>44.0</v>
      </c>
      <c r="F137" s="2" t="s">
        <v>122</v>
      </c>
      <c r="H137" s="6" t="str">
        <f t="shared" si="2"/>
        <v>#REF!</v>
      </c>
      <c r="I137" s="7" t="str">
        <f t="shared" si="3"/>
        <v>#REF!</v>
      </c>
      <c r="J137" s="7" t="str">
        <f t="shared" si="4"/>
        <v>#REF!</v>
      </c>
      <c r="K137" s="8" t="str">
        <f t="shared" si="5"/>
        <v>#REF!</v>
      </c>
      <c r="L137" s="9" t="str">
        <f t="shared" si="6"/>
        <v>[temple]16[/temple]</v>
      </c>
      <c r="M137" s="7" t="str">
        <f t="shared" si="7"/>
        <v>#REF!</v>
      </c>
      <c r="N137" s="7">
        <f t="shared" ref="N137:O137" si="142">B137-500</f>
        <v>-78</v>
      </c>
      <c r="O137" s="7">
        <f t="shared" si="142"/>
        <v>-30</v>
      </c>
    </row>
    <row r="138">
      <c r="A138" s="1">
        <v>11.0</v>
      </c>
      <c r="B138" s="2">
        <v>429.0</v>
      </c>
      <c r="C138" s="2">
        <v>541.0</v>
      </c>
      <c r="D138" s="2" t="s">
        <v>189</v>
      </c>
      <c r="E138" s="5">
        <v>45.0</v>
      </c>
      <c r="F138" s="2" t="s">
        <v>22</v>
      </c>
      <c r="H138" s="6" t="str">
        <f t="shared" si="2"/>
        <v>#REF!</v>
      </c>
      <c r="I138" s="7" t="str">
        <f t="shared" si="3"/>
        <v>#REF!</v>
      </c>
      <c r="J138" s="7" t="str">
        <f t="shared" si="4"/>
        <v>#REF!</v>
      </c>
      <c r="K138" s="8" t="str">
        <f t="shared" si="5"/>
        <v>#REF!</v>
      </c>
      <c r="L138" s="9" t="str">
        <f t="shared" si="6"/>
        <v>[temple]11[/temple]</v>
      </c>
      <c r="M138" s="7" t="str">
        <f t="shared" si="7"/>
        <v>#REF!</v>
      </c>
      <c r="N138" s="7">
        <f t="shared" ref="N138:O138" si="143">B138-500</f>
        <v>-71</v>
      </c>
      <c r="O138" s="7">
        <f t="shared" si="143"/>
        <v>41</v>
      </c>
    </row>
    <row r="139">
      <c r="A139" s="1">
        <v>15.0</v>
      </c>
      <c r="B139" s="2">
        <v>498.0</v>
      </c>
      <c r="C139" s="2">
        <v>580.0</v>
      </c>
      <c r="D139" s="2" t="s">
        <v>190</v>
      </c>
      <c r="E139" s="5">
        <v>45.0</v>
      </c>
      <c r="F139" s="2" t="s">
        <v>102</v>
      </c>
      <c r="H139" s="6" t="str">
        <f t="shared" si="2"/>
        <v>#REF!</v>
      </c>
      <c r="I139" s="7" t="str">
        <f t="shared" si="3"/>
        <v>#REF!</v>
      </c>
      <c r="J139" s="7" t="str">
        <f t="shared" si="4"/>
        <v>#REF!</v>
      </c>
      <c r="K139" s="8" t="str">
        <f t="shared" si="5"/>
        <v>#REF!</v>
      </c>
      <c r="L139" s="9" t="str">
        <f t="shared" si="6"/>
        <v>[temple]15[/temple]</v>
      </c>
      <c r="M139" s="7" t="str">
        <f t="shared" si="7"/>
        <v>#REF!</v>
      </c>
      <c r="N139" s="7">
        <f t="shared" ref="N139:O139" si="144">B139-500</f>
        <v>-2</v>
      </c>
      <c r="O139" s="7">
        <f t="shared" si="144"/>
        <v>80</v>
      </c>
    </row>
    <row r="140">
      <c r="A140" s="1">
        <v>13.0</v>
      </c>
      <c r="B140" s="2">
        <v>576.0</v>
      </c>
      <c r="C140" s="2">
        <v>484.0</v>
      </c>
      <c r="D140" s="2" t="s">
        <v>191</v>
      </c>
      <c r="E140" s="5">
        <v>54.0</v>
      </c>
      <c r="F140" s="2" t="s">
        <v>100</v>
      </c>
      <c r="H140" s="6" t="str">
        <f t="shared" si="2"/>
        <v>#REF!</v>
      </c>
      <c r="I140" s="7" t="str">
        <f t="shared" si="3"/>
        <v>#REF!</v>
      </c>
      <c r="J140" s="7" t="str">
        <f t="shared" si="4"/>
        <v>#REF!</v>
      </c>
      <c r="K140" s="8" t="str">
        <f t="shared" si="5"/>
        <v>#REF!</v>
      </c>
      <c r="L140" s="9" t="str">
        <f t="shared" si="6"/>
        <v>[temple]13[/temple]</v>
      </c>
      <c r="M140" s="7" t="str">
        <f t="shared" si="7"/>
        <v>#REF!</v>
      </c>
      <c r="N140" s="7">
        <f t="shared" ref="N140:O140" si="145">B140-500</f>
        <v>76</v>
      </c>
      <c r="O140" s="7">
        <f t="shared" si="145"/>
        <v>-16</v>
      </c>
    </row>
    <row r="141">
      <c r="A141" s="1">
        <v>10.0</v>
      </c>
      <c r="B141" s="2">
        <v>565.0</v>
      </c>
      <c r="C141" s="2">
        <v>461.0</v>
      </c>
      <c r="D141" s="2" t="s">
        <v>192</v>
      </c>
      <c r="E141" s="5">
        <v>54.0</v>
      </c>
      <c r="F141" s="2" t="s">
        <v>24</v>
      </c>
      <c r="H141" s="6" t="str">
        <f t="shared" si="2"/>
        <v>#REF!</v>
      </c>
      <c r="I141" s="7" t="str">
        <f t="shared" si="3"/>
        <v>#REF!</v>
      </c>
      <c r="J141" s="7" t="str">
        <f t="shared" si="4"/>
        <v>#REF!</v>
      </c>
      <c r="K141" s="8" t="str">
        <f t="shared" si="5"/>
        <v>#REF!</v>
      </c>
      <c r="L141" s="9" t="str">
        <f t="shared" si="6"/>
        <v>[temple]10[/temple]</v>
      </c>
      <c r="M141" s="7" t="str">
        <f t="shared" si="7"/>
        <v>#REF!</v>
      </c>
      <c r="N141" s="7">
        <f t="shared" ref="N141:O141" si="146">B141-500</f>
        <v>65</v>
      </c>
      <c r="O141" s="7">
        <f t="shared" si="146"/>
        <v>-39</v>
      </c>
    </row>
    <row r="142">
      <c r="A142" s="1">
        <v>14.0</v>
      </c>
      <c r="B142" s="2">
        <v>480.0</v>
      </c>
      <c r="C142" s="2">
        <v>570.0</v>
      </c>
      <c r="D142" s="2" t="s">
        <v>193</v>
      </c>
      <c r="E142" s="5">
        <v>45.0</v>
      </c>
      <c r="F142" s="2" t="s">
        <v>100</v>
      </c>
      <c r="H142" s="6" t="str">
        <f t="shared" si="2"/>
        <v>#REF!</v>
      </c>
      <c r="I142" s="7" t="str">
        <f t="shared" si="3"/>
        <v>#REF!</v>
      </c>
      <c r="J142" s="7" t="str">
        <f t="shared" si="4"/>
        <v>#REF!</v>
      </c>
      <c r="K142" s="8" t="str">
        <f t="shared" si="5"/>
        <v>#REF!</v>
      </c>
      <c r="L142" s="9" t="str">
        <f t="shared" si="6"/>
        <v>[temple]14[/temple]</v>
      </c>
      <c r="M142" s="7" t="str">
        <f t="shared" si="7"/>
        <v>#REF!</v>
      </c>
      <c r="N142" s="7">
        <f t="shared" ref="N142:O142" si="147">B142-500</f>
        <v>-20</v>
      </c>
      <c r="O142" s="7">
        <f t="shared" si="147"/>
        <v>70</v>
      </c>
    </row>
    <row r="143">
      <c r="A143" s="1">
        <v>6.0</v>
      </c>
      <c r="B143" s="2">
        <v>567.0</v>
      </c>
      <c r="C143" s="2">
        <v>508.0</v>
      </c>
      <c r="D143" s="2" t="s">
        <v>194</v>
      </c>
      <c r="E143" s="5">
        <v>55.0</v>
      </c>
      <c r="F143" s="2" t="s">
        <v>195</v>
      </c>
      <c r="H143" s="6" t="str">
        <f t="shared" si="2"/>
        <v>#REF!</v>
      </c>
      <c r="I143" s="7" t="str">
        <f t="shared" si="3"/>
        <v>#REF!</v>
      </c>
      <c r="J143" s="7" t="str">
        <f t="shared" si="4"/>
        <v>#REF!</v>
      </c>
      <c r="K143" s="8" t="str">
        <f t="shared" si="5"/>
        <v>#REF!</v>
      </c>
      <c r="L143" s="9" t="str">
        <f t="shared" si="6"/>
        <v>[temple]6[/temple]</v>
      </c>
      <c r="M143" s="7" t="str">
        <f t="shared" si="7"/>
        <v>#REF!</v>
      </c>
      <c r="N143" s="7">
        <f t="shared" ref="N143:O143" si="148">B143-500</f>
        <v>67</v>
      </c>
      <c r="O143" s="7">
        <f t="shared" si="148"/>
        <v>8</v>
      </c>
    </row>
    <row r="144">
      <c r="A144" s="1">
        <v>9.0</v>
      </c>
      <c r="B144" s="2">
        <v>441.0</v>
      </c>
      <c r="C144" s="2">
        <v>483.0</v>
      </c>
      <c r="D144" s="2" t="s">
        <v>196</v>
      </c>
      <c r="E144" s="5">
        <v>44.0</v>
      </c>
      <c r="F144" s="2" t="s">
        <v>128</v>
      </c>
      <c r="H144" s="6" t="str">
        <f t="shared" si="2"/>
        <v>#REF!</v>
      </c>
      <c r="I144" s="7" t="str">
        <f t="shared" si="3"/>
        <v>#REF!</v>
      </c>
      <c r="J144" s="7" t="str">
        <f t="shared" si="4"/>
        <v>#REF!</v>
      </c>
      <c r="K144" s="8" t="str">
        <f t="shared" si="5"/>
        <v>#REF!</v>
      </c>
      <c r="L144" s="9" t="str">
        <f t="shared" si="6"/>
        <v>[temple]9[/temple]</v>
      </c>
      <c r="M144" s="7" t="str">
        <f t="shared" si="7"/>
        <v>#REF!</v>
      </c>
      <c r="N144" s="7">
        <f t="shared" ref="N144:O144" si="149">B144-500</f>
        <v>-59</v>
      </c>
      <c r="O144" s="7">
        <f t="shared" si="149"/>
        <v>-17</v>
      </c>
    </row>
    <row r="145">
      <c r="A145" s="1">
        <v>8.0</v>
      </c>
      <c r="B145" s="2">
        <v>449.0</v>
      </c>
      <c r="C145" s="2">
        <v>507.0</v>
      </c>
      <c r="D145" s="2" t="s">
        <v>197</v>
      </c>
      <c r="E145" s="5">
        <v>45.0</v>
      </c>
      <c r="F145" s="2" t="s">
        <v>73</v>
      </c>
      <c r="H145" s="6" t="str">
        <f t="shared" si="2"/>
        <v>#REF!</v>
      </c>
      <c r="I145" s="7" t="str">
        <f t="shared" si="3"/>
        <v>#REF!</v>
      </c>
      <c r="J145" s="7" t="str">
        <f t="shared" si="4"/>
        <v>#REF!</v>
      </c>
      <c r="K145" s="8" t="str">
        <f t="shared" si="5"/>
        <v>#REF!</v>
      </c>
      <c r="L145" s="9" t="str">
        <f t="shared" si="6"/>
        <v>[temple]8[/temple]</v>
      </c>
      <c r="M145" s="7" t="str">
        <f t="shared" si="7"/>
        <v>#REF!</v>
      </c>
      <c r="N145" s="7">
        <f t="shared" ref="N145:O145" si="150">B145-500</f>
        <v>-51</v>
      </c>
      <c r="O145" s="7">
        <f t="shared" si="150"/>
        <v>7</v>
      </c>
    </row>
    <row r="146">
      <c r="A146" s="1">
        <v>7.0</v>
      </c>
      <c r="B146" s="2">
        <v>479.0</v>
      </c>
      <c r="C146" s="2">
        <v>455.0</v>
      </c>
      <c r="D146" s="2" t="s">
        <v>198</v>
      </c>
      <c r="E146" s="5">
        <v>44.0</v>
      </c>
      <c r="F146" s="2" t="s">
        <v>142</v>
      </c>
      <c r="H146" s="6" t="str">
        <f t="shared" si="2"/>
        <v>#REF!</v>
      </c>
      <c r="I146" s="7" t="str">
        <f t="shared" si="3"/>
        <v>#REF!</v>
      </c>
      <c r="J146" s="7" t="str">
        <f t="shared" si="4"/>
        <v>#REF!</v>
      </c>
      <c r="K146" s="8" t="str">
        <f t="shared" si="5"/>
        <v>#REF!</v>
      </c>
      <c r="L146" s="9" t="str">
        <f t="shared" si="6"/>
        <v>[temple]7[/temple]</v>
      </c>
      <c r="M146" s="7" t="str">
        <f t="shared" si="7"/>
        <v>#REF!</v>
      </c>
      <c r="N146" s="7">
        <f t="shared" ref="N146:O146" si="151">B146-500</f>
        <v>-21</v>
      </c>
      <c r="O146" s="7">
        <f t="shared" si="151"/>
        <v>-45</v>
      </c>
    </row>
    <row r="147">
      <c r="A147" s="1">
        <v>5.0</v>
      </c>
      <c r="B147" s="2">
        <v>463.0</v>
      </c>
      <c r="C147" s="2">
        <v>527.0</v>
      </c>
      <c r="D147" s="2" t="s">
        <v>199</v>
      </c>
      <c r="E147" s="5">
        <v>45.0</v>
      </c>
      <c r="F147" s="2" t="s">
        <v>170</v>
      </c>
      <c r="H147" s="6" t="str">
        <f t="shared" si="2"/>
        <v>#REF!</v>
      </c>
      <c r="I147" s="7" t="str">
        <f t="shared" si="3"/>
        <v>#REF!</v>
      </c>
      <c r="J147" s="7" t="str">
        <f t="shared" si="4"/>
        <v>#REF!</v>
      </c>
      <c r="K147" s="8" t="str">
        <f t="shared" si="5"/>
        <v>#REF!</v>
      </c>
      <c r="L147" s="9" t="str">
        <f t="shared" si="6"/>
        <v>[temple]5[/temple]</v>
      </c>
      <c r="M147" s="7" t="str">
        <f t="shared" si="7"/>
        <v>#REF!</v>
      </c>
      <c r="N147" s="7">
        <f t="shared" ref="N147:O147" si="152">B147-500</f>
        <v>-37</v>
      </c>
      <c r="O147" s="7">
        <f t="shared" si="152"/>
        <v>27</v>
      </c>
    </row>
    <row r="148">
      <c r="A148" s="1">
        <v>4.0</v>
      </c>
      <c r="B148" s="2">
        <v>517.0</v>
      </c>
      <c r="C148" s="2">
        <v>464.0</v>
      </c>
      <c r="D148" s="2" t="s">
        <v>200</v>
      </c>
      <c r="E148" s="5">
        <v>54.0</v>
      </c>
      <c r="F148" s="2" t="s">
        <v>22</v>
      </c>
      <c r="H148" s="6" t="str">
        <f t="shared" si="2"/>
        <v>#REF!</v>
      </c>
      <c r="I148" s="7" t="str">
        <f t="shared" si="3"/>
        <v>#REF!</v>
      </c>
      <c r="J148" s="7" t="str">
        <f t="shared" si="4"/>
        <v>#REF!</v>
      </c>
      <c r="K148" s="8" t="str">
        <f t="shared" si="5"/>
        <v>#REF!</v>
      </c>
      <c r="L148" s="9" t="str">
        <f t="shared" si="6"/>
        <v>[temple]4[/temple]</v>
      </c>
      <c r="M148" s="7" t="str">
        <f t="shared" si="7"/>
        <v>#REF!</v>
      </c>
      <c r="N148" s="7">
        <f t="shared" ref="N148:O148" si="153">B148-500</f>
        <v>17</v>
      </c>
      <c r="O148" s="7">
        <f t="shared" si="153"/>
        <v>-36</v>
      </c>
    </row>
    <row r="149">
      <c r="A149" s="1">
        <v>3.0</v>
      </c>
      <c r="B149" s="2">
        <v>513.0</v>
      </c>
      <c r="C149" s="2">
        <v>534.0</v>
      </c>
      <c r="D149" s="2" t="s">
        <v>201</v>
      </c>
      <c r="E149" s="5">
        <v>55.0</v>
      </c>
      <c r="F149" s="2" t="s">
        <v>24</v>
      </c>
      <c r="H149" s="6" t="str">
        <f t="shared" si="2"/>
        <v>#REF!</v>
      </c>
      <c r="I149" s="7" t="str">
        <f t="shared" si="3"/>
        <v>#REF!</v>
      </c>
      <c r="J149" s="7" t="str">
        <f t="shared" si="4"/>
        <v>#REF!</v>
      </c>
      <c r="K149" s="8" t="str">
        <f t="shared" si="5"/>
        <v>#REF!</v>
      </c>
      <c r="L149" s="9" t="str">
        <f t="shared" si="6"/>
        <v>[temple]3[/temple]</v>
      </c>
      <c r="M149" s="7" t="str">
        <f t="shared" si="7"/>
        <v>#REF!</v>
      </c>
      <c r="N149" s="7">
        <f t="shared" ref="N149:O149" si="154">B149-500</f>
        <v>13</v>
      </c>
      <c r="O149" s="7">
        <f t="shared" si="154"/>
        <v>34</v>
      </c>
    </row>
    <row r="150">
      <c r="A150" s="1">
        <v>2.0</v>
      </c>
      <c r="B150" s="2">
        <v>533.0</v>
      </c>
      <c r="C150" s="2">
        <v>492.0</v>
      </c>
      <c r="D150" s="2" t="s">
        <v>202</v>
      </c>
      <c r="E150" s="5">
        <v>54.0</v>
      </c>
      <c r="F150" s="2" t="s">
        <v>203</v>
      </c>
      <c r="H150" s="6" t="str">
        <f t="shared" si="2"/>
        <v>#REF!</v>
      </c>
      <c r="I150" s="7" t="str">
        <f t="shared" si="3"/>
        <v>#REF!</v>
      </c>
      <c r="J150" s="7" t="str">
        <f t="shared" si="4"/>
        <v>#REF!</v>
      </c>
      <c r="K150" s="8" t="str">
        <f t="shared" si="5"/>
        <v>#REF!</v>
      </c>
      <c r="L150" s="9" t="str">
        <f t="shared" si="6"/>
        <v>[temple]2[/temple]</v>
      </c>
      <c r="M150" s="7" t="str">
        <f t="shared" si="7"/>
        <v>#REF!</v>
      </c>
      <c r="N150" s="7">
        <f t="shared" ref="N150:O150" si="155">B150-500</f>
        <v>33</v>
      </c>
      <c r="O150" s="7">
        <f t="shared" si="155"/>
        <v>-8</v>
      </c>
    </row>
    <row r="151">
      <c r="A151" s="1">
        <v>1.0</v>
      </c>
      <c r="B151" s="2">
        <v>518.0</v>
      </c>
      <c r="C151" s="2">
        <v>506.0</v>
      </c>
      <c r="D151" s="2" t="s">
        <v>204</v>
      </c>
      <c r="E151" s="5">
        <v>55.0</v>
      </c>
      <c r="F151" s="2" t="s">
        <v>18</v>
      </c>
      <c r="H151" s="6" t="str">
        <f t="shared" si="2"/>
        <v>#REF!</v>
      </c>
      <c r="I151" s="7" t="str">
        <f t="shared" si="3"/>
        <v>#REF!</v>
      </c>
      <c r="J151" s="7" t="str">
        <f t="shared" si="4"/>
        <v>#REF!</v>
      </c>
      <c r="K151" s="8" t="str">
        <f t="shared" si="5"/>
        <v>#REF!</v>
      </c>
      <c r="L151" s="9" t="str">
        <f t="shared" si="6"/>
        <v>[temple]1[/temple]</v>
      </c>
      <c r="M151" s="7" t="str">
        <f t="shared" si="7"/>
        <v>#REF!</v>
      </c>
      <c r="N151" s="7">
        <f t="shared" ref="N151:O151" si="156">B151-500</f>
        <v>18</v>
      </c>
      <c r="O151" s="7">
        <f t="shared" si="156"/>
        <v>6</v>
      </c>
    </row>
    <row r="152">
      <c r="A152" s="10"/>
      <c r="E152" s="10"/>
      <c r="F152" s="7"/>
      <c r="H152" s="6"/>
      <c r="I152" s="7"/>
      <c r="K152" s="11"/>
    </row>
    <row r="153">
      <c r="A153" s="10"/>
      <c r="E153" s="10"/>
      <c r="F153" s="7"/>
      <c r="H153" s="6"/>
      <c r="I153" s="7"/>
      <c r="K153" s="11"/>
    </row>
    <row r="154">
      <c r="A154" s="10"/>
      <c r="E154" s="10"/>
      <c r="F154" s="7"/>
      <c r="H154" s="6"/>
      <c r="I154" s="7"/>
      <c r="K154" s="11"/>
    </row>
    <row r="155">
      <c r="A155" s="10"/>
      <c r="E155" s="10"/>
      <c r="F155" s="7"/>
      <c r="H155" s="6"/>
      <c r="I155" s="7"/>
      <c r="K155" s="11"/>
    </row>
    <row r="156">
      <c r="A156" s="10"/>
      <c r="E156" s="10"/>
      <c r="F156" s="7"/>
      <c r="H156" s="6"/>
      <c r="I156" s="7"/>
      <c r="K156" s="11"/>
    </row>
    <row r="157">
      <c r="A157" s="10"/>
      <c r="E157" s="10"/>
      <c r="F157" s="7"/>
      <c r="H157" s="6"/>
      <c r="I157" s="7"/>
      <c r="K157" s="11"/>
    </row>
    <row r="158">
      <c r="A158" s="10"/>
      <c r="E158" s="10"/>
      <c r="F158" s="7"/>
      <c r="H158" s="6"/>
      <c r="I158" s="7"/>
      <c r="K158" s="11"/>
    </row>
    <row r="159">
      <c r="A159" s="10"/>
      <c r="E159" s="10"/>
      <c r="F159" s="7"/>
      <c r="H159" s="6"/>
      <c r="I159" s="7"/>
      <c r="K159" s="11"/>
    </row>
    <row r="160">
      <c r="A160" s="10"/>
      <c r="E160" s="10"/>
      <c r="F160" s="7"/>
      <c r="H160" s="6"/>
      <c r="I160" s="7"/>
      <c r="K160" s="11"/>
    </row>
    <row r="161">
      <c r="A161" s="10"/>
      <c r="E161" s="10"/>
      <c r="F161" s="7"/>
      <c r="H161" s="6"/>
      <c r="I161" s="7"/>
      <c r="K161" s="11"/>
    </row>
    <row r="162">
      <c r="A162" s="10"/>
      <c r="E162" s="10"/>
      <c r="F162" s="7"/>
      <c r="H162" s="6"/>
      <c r="I162" s="7"/>
      <c r="K162" s="11"/>
    </row>
    <row r="163">
      <c r="A163" s="10"/>
      <c r="E163" s="10"/>
      <c r="F163" s="7"/>
      <c r="H163" s="6"/>
      <c r="I163" s="7"/>
      <c r="K163" s="11"/>
    </row>
    <row r="164">
      <c r="A164" s="10"/>
      <c r="E164" s="10"/>
      <c r="F164" s="7"/>
      <c r="H164" s="6"/>
      <c r="I164" s="7"/>
      <c r="K164" s="11"/>
    </row>
    <row r="165">
      <c r="A165" s="10"/>
      <c r="E165" s="10"/>
      <c r="F165" s="7"/>
      <c r="H165" s="6"/>
      <c r="I165" s="7"/>
      <c r="K165" s="11"/>
    </row>
    <row r="166">
      <c r="A166" s="10"/>
      <c r="E166" s="10"/>
      <c r="F166" s="7"/>
      <c r="H166" s="6"/>
      <c r="I166" s="7"/>
      <c r="K166" s="11"/>
    </row>
    <row r="167">
      <c r="A167" s="10"/>
      <c r="E167" s="10"/>
      <c r="F167" s="7"/>
      <c r="H167" s="6"/>
      <c r="I167" s="7"/>
      <c r="K167" s="11"/>
    </row>
    <row r="168">
      <c r="A168" s="10"/>
      <c r="E168" s="10"/>
      <c r="F168" s="7"/>
      <c r="H168" s="6"/>
      <c r="I168" s="7"/>
      <c r="K168" s="11"/>
    </row>
    <row r="169">
      <c r="A169" s="10"/>
      <c r="E169" s="10"/>
      <c r="F169" s="7"/>
      <c r="H169" s="6"/>
      <c r="I169" s="7"/>
      <c r="K169" s="11"/>
    </row>
    <row r="170">
      <c r="A170" s="10"/>
      <c r="E170" s="10"/>
      <c r="F170" s="7"/>
      <c r="H170" s="6"/>
      <c r="I170" s="7"/>
      <c r="K170" s="11"/>
    </row>
    <row r="171">
      <c r="A171" s="10"/>
      <c r="E171" s="10"/>
      <c r="F171" s="7"/>
      <c r="H171" s="6"/>
      <c r="I171" s="7"/>
      <c r="K171" s="11"/>
    </row>
    <row r="172">
      <c r="A172" s="10"/>
      <c r="E172" s="10"/>
      <c r="F172" s="7"/>
      <c r="H172" s="6"/>
      <c r="I172" s="7"/>
      <c r="K172" s="11"/>
    </row>
    <row r="173">
      <c r="A173" s="10"/>
      <c r="E173" s="10"/>
      <c r="F173" s="7"/>
      <c r="H173" s="6"/>
      <c r="I173" s="7"/>
      <c r="K173" s="11"/>
    </row>
    <row r="174">
      <c r="A174" s="10"/>
      <c r="E174" s="10"/>
      <c r="F174" s="7"/>
      <c r="H174" s="6"/>
      <c r="I174" s="7"/>
      <c r="K174" s="11"/>
    </row>
    <row r="175">
      <c r="A175" s="10"/>
      <c r="E175" s="10"/>
      <c r="F175" s="7"/>
      <c r="H175" s="6"/>
      <c r="I175" s="7"/>
      <c r="K175" s="11"/>
    </row>
    <row r="176">
      <c r="A176" s="10"/>
      <c r="E176" s="10"/>
      <c r="F176" s="7"/>
      <c r="H176" s="6"/>
      <c r="I176" s="7"/>
      <c r="K176" s="11"/>
    </row>
    <row r="177">
      <c r="A177" s="10"/>
      <c r="E177" s="10"/>
      <c r="F177" s="7"/>
      <c r="H177" s="6"/>
      <c r="I177" s="7"/>
      <c r="K177" s="11"/>
    </row>
    <row r="178">
      <c r="A178" s="10"/>
      <c r="E178" s="10"/>
      <c r="F178" s="7"/>
      <c r="H178" s="6"/>
      <c r="I178" s="7"/>
      <c r="K178" s="11"/>
    </row>
    <row r="179">
      <c r="A179" s="10"/>
      <c r="E179" s="10"/>
      <c r="F179" s="7"/>
      <c r="H179" s="6"/>
      <c r="I179" s="7"/>
      <c r="K179" s="11"/>
    </row>
    <row r="180">
      <c r="A180" s="10"/>
      <c r="E180" s="10"/>
      <c r="F180" s="7"/>
      <c r="H180" s="6"/>
      <c r="I180" s="7"/>
      <c r="K180" s="11"/>
    </row>
    <row r="181">
      <c r="A181" s="10"/>
      <c r="E181" s="10"/>
      <c r="F181" s="7"/>
      <c r="H181" s="6"/>
      <c r="I181" s="7"/>
      <c r="K181" s="11"/>
    </row>
    <row r="182">
      <c r="A182" s="10"/>
      <c r="E182" s="10"/>
      <c r="F182" s="7"/>
      <c r="H182" s="6"/>
      <c r="I182" s="7"/>
      <c r="K182" s="11"/>
    </row>
    <row r="183">
      <c r="A183" s="10"/>
      <c r="E183" s="10"/>
      <c r="F183" s="7"/>
      <c r="H183" s="6"/>
      <c r="I183" s="7"/>
      <c r="K183" s="11"/>
    </row>
    <row r="184">
      <c r="A184" s="10"/>
      <c r="E184" s="10"/>
      <c r="F184" s="7"/>
      <c r="H184" s="6"/>
      <c r="I184" s="7"/>
      <c r="K184" s="11"/>
    </row>
    <row r="185">
      <c r="A185" s="10"/>
      <c r="E185" s="10"/>
      <c r="F185" s="7"/>
      <c r="H185" s="6"/>
      <c r="I185" s="7"/>
      <c r="K185" s="11"/>
    </row>
    <row r="186">
      <c r="A186" s="10"/>
      <c r="E186" s="10"/>
      <c r="F186" s="7"/>
      <c r="H186" s="6"/>
      <c r="I186" s="7"/>
      <c r="K186" s="11"/>
    </row>
    <row r="187">
      <c r="A187" s="10"/>
      <c r="E187" s="10"/>
      <c r="F187" s="7"/>
      <c r="H187" s="6"/>
      <c r="I187" s="7"/>
      <c r="K187" s="11"/>
    </row>
    <row r="188">
      <c r="A188" s="10"/>
      <c r="E188" s="10"/>
      <c r="F188" s="7"/>
      <c r="H188" s="6"/>
      <c r="I188" s="7"/>
      <c r="K188" s="11"/>
    </row>
    <row r="189">
      <c r="A189" s="10"/>
      <c r="E189" s="10"/>
      <c r="F189" s="7"/>
      <c r="H189" s="6"/>
      <c r="I189" s="7"/>
      <c r="K189" s="11"/>
    </row>
    <row r="190">
      <c r="A190" s="10"/>
      <c r="E190" s="10"/>
      <c r="F190" s="7"/>
      <c r="H190" s="6"/>
      <c r="I190" s="7"/>
      <c r="K190" s="11"/>
    </row>
    <row r="191">
      <c r="A191" s="10"/>
      <c r="E191" s="10"/>
      <c r="F191" s="7"/>
      <c r="H191" s="6"/>
      <c r="I191" s="7"/>
      <c r="K191" s="11"/>
    </row>
    <row r="192">
      <c r="A192" s="10"/>
      <c r="E192" s="10"/>
      <c r="F192" s="7"/>
      <c r="H192" s="6"/>
      <c r="I192" s="7"/>
      <c r="K192" s="11"/>
    </row>
    <row r="193">
      <c r="A193" s="10"/>
      <c r="E193" s="10"/>
      <c r="F193" s="7"/>
      <c r="H193" s="6"/>
      <c r="I193" s="7"/>
      <c r="K193" s="11"/>
    </row>
    <row r="194">
      <c r="A194" s="10"/>
      <c r="E194" s="10"/>
      <c r="F194" s="7"/>
      <c r="H194" s="6"/>
      <c r="I194" s="7"/>
      <c r="K194" s="11"/>
    </row>
    <row r="195">
      <c r="A195" s="10"/>
      <c r="E195" s="10"/>
      <c r="F195" s="7"/>
      <c r="H195" s="6"/>
      <c r="I195" s="7"/>
      <c r="K195" s="11"/>
    </row>
    <row r="196">
      <c r="A196" s="10"/>
      <c r="E196" s="10"/>
      <c r="F196" s="7"/>
      <c r="H196" s="6"/>
      <c r="I196" s="7"/>
      <c r="K196" s="11"/>
    </row>
    <row r="197">
      <c r="A197" s="10"/>
      <c r="E197" s="10"/>
      <c r="F197" s="7"/>
      <c r="H197" s="6"/>
      <c r="I197" s="7"/>
      <c r="K197" s="11"/>
    </row>
    <row r="198">
      <c r="A198" s="10"/>
      <c r="E198" s="10"/>
      <c r="F198" s="7"/>
      <c r="H198" s="6"/>
      <c r="I198" s="7"/>
      <c r="K198" s="11"/>
    </row>
    <row r="199">
      <c r="A199" s="10"/>
      <c r="E199" s="10"/>
      <c r="F199" s="7"/>
      <c r="H199" s="6"/>
      <c r="I199" s="7"/>
      <c r="K199" s="11"/>
    </row>
    <row r="200">
      <c r="A200" s="10"/>
      <c r="E200" s="10"/>
      <c r="F200" s="7"/>
      <c r="H200" s="6"/>
      <c r="I200" s="7"/>
      <c r="K200" s="11"/>
    </row>
    <row r="201">
      <c r="A201" s="10"/>
      <c r="E201" s="10"/>
      <c r="F201" s="7"/>
      <c r="H201" s="6"/>
      <c r="I201" s="7"/>
      <c r="K201" s="11"/>
    </row>
    <row r="202">
      <c r="A202" s="10"/>
      <c r="E202" s="10"/>
      <c r="F202" s="7"/>
      <c r="H202" s="6"/>
      <c r="I202" s="7"/>
      <c r="K202" s="11"/>
    </row>
    <row r="203">
      <c r="A203" s="10"/>
      <c r="E203" s="10"/>
      <c r="F203" s="7"/>
      <c r="H203" s="6"/>
      <c r="I203" s="7"/>
      <c r="K203" s="11"/>
    </row>
    <row r="204">
      <c r="A204" s="10"/>
      <c r="E204" s="10"/>
      <c r="F204" s="7"/>
      <c r="H204" s="6"/>
      <c r="I204" s="7"/>
      <c r="K204" s="11"/>
    </row>
    <row r="205">
      <c r="A205" s="10"/>
      <c r="E205" s="10"/>
      <c r="F205" s="7"/>
      <c r="H205" s="6"/>
      <c r="I205" s="7"/>
      <c r="K205" s="11"/>
    </row>
    <row r="206">
      <c r="A206" s="10"/>
      <c r="E206" s="10"/>
      <c r="F206" s="7"/>
      <c r="H206" s="6"/>
      <c r="I206" s="7"/>
      <c r="K206" s="11"/>
    </row>
    <row r="207">
      <c r="A207" s="10"/>
      <c r="E207" s="10"/>
      <c r="F207" s="7"/>
      <c r="H207" s="6"/>
      <c r="I207" s="7"/>
      <c r="K207" s="11"/>
    </row>
    <row r="208">
      <c r="A208" s="10"/>
      <c r="E208" s="10"/>
      <c r="F208" s="7"/>
      <c r="H208" s="6"/>
      <c r="I208" s="7"/>
      <c r="K208" s="11"/>
    </row>
    <row r="209">
      <c r="A209" s="10"/>
      <c r="E209" s="10"/>
      <c r="F209" s="7"/>
      <c r="H209" s="6"/>
      <c r="I209" s="7"/>
      <c r="K209" s="11"/>
    </row>
    <row r="210">
      <c r="A210" s="10"/>
      <c r="E210" s="10"/>
      <c r="F210" s="7"/>
      <c r="H210" s="6"/>
      <c r="I210" s="7"/>
      <c r="K210" s="11"/>
    </row>
    <row r="211">
      <c r="A211" s="10"/>
      <c r="E211" s="10"/>
      <c r="F211" s="7"/>
      <c r="H211" s="6"/>
      <c r="I211" s="7"/>
      <c r="K211" s="11"/>
    </row>
    <row r="212">
      <c r="A212" s="10"/>
      <c r="E212" s="10"/>
      <c r="F212" s="7"/>
      <c r="H212" s="6"/>
      <c r="I212" s="7"/>
      <c r="K212" s="11"/>
    </row>
    <row r="213">
      <c r="A213" s="10"/>
      <c r="E213" s="10"/>
      <c r="F213" s="7"/>
      <c r="H213" s="6"/>
      <c r="I213" s="7"/>
      <c r="K213" s="11"/>
    </row>
    <row r="214">
      <c r="A214" s="10"/>
      <c r="E214" s="10"/>
      <c r="F214" s="7"/>
      <c r="H214" s="6"/>
      <c r="I214" s="7"/>
      <c r="K214" s="11"/>
    </row>
    <row r="215">
      <c r="A215" s="10"/>
      <c r="E215" s="10"/>
      <c r="F215" s="7"/>
      <c r="H215" s="6"/>
      <c r="I215" s="7"/>
      <c r="K215" s="11"/>
    </row>
    <row r="216">
      <c r="A216" s="10"/>
      <c r="E216" s="10"/>
      <c r="F216" s="7"/>
      <c r="H216" s="6"/>
      <c r="I216" s="7"/>
      <c r="K216" s="11"/>
    </row>
    <row r="217">
      <c r="A217" s="10"/>
      <c r="E217" s="10"/>
      <c r="F217" s="7"/>
      <c r="H217" s="6"/>
      <c r="I217" s="7"/>
      <c r="K217" s="11"/>
    </row>
    <row r="218">
      <c r="A218" s="10"/>
      <c r="E218" s="10"/>
      <c r="F218" s="7"/>
      <c r="H218" s="6"/>
      <c r="I218" s="7"/>
      <c r="K218" s="11"/>
    </row>
    <row r="219">
      <c r="A219" s="10"/>
      <c r="E219" s="10"/>
      <c r="F219" s="7"/>
      <c r="H219" s="6"/>
      <c r="I219" s="7"/>
      <c r="K219" s="11"/>
    </row>
    <row r="220">
      <c r="A220" s="10"/>
      <c r="E220" s="10"/>
      <c r="F220" s="7"/>
      <c r="H220" s="6"/>
      <c r="I220" s="7"/>
      <c r="K220" s="11"/>
    </row>
    <row r="221">
      <c r="A221" s="10"/>
      <c r="E221" s="10"/>
      <c r="F221" s="7"/>
      <c r="H221" s="6"/>
      <c r="I221" s="7"/>
      <c r="K221" s="11"/>
    </row>
    <row r="222">
      <c r="A222" s="10"/>
      <c r="E222" s="10"/>
      <c r="F222" s="7"/>
      <c r="H222" s="6"/>
      <c r="I222" s="7"/>
      <c r="K222" s="11"/>
    </row>
    <row r="223">
      <c r="A223" s="10"/>
      <c r="E223" s="10"/>
      <c r="F223" s="7"/>
      <c r="H223" s="6"/>
      <c r="I223" s="7"/>
      <c r="K223" s="11"/>
    </row>
    <row r="224">
      <c r="A224" s="10"/>
      <c r="E224" s="10"/>
      <c r="F224" s="7"/>
      <c r="H224" s="6"/>
      <c r="I224" s="7"/>
      <c r="K224" s="11"/>
    </row>
    <row r="225">
      <c r="A225" s="10"/>
      <c r="E225" s="10"/>
      <c r="F225" s="7"/>
      <c r="H225" s="6"/>
      <c r="I225" s="7"/>
      <c r="K225" s="11"/>
    </row>
    <row r="226">
      <c r="A226" s="10"/>
      <c r="E226" s="10"/>
      <c r="F226" s="7"/>
      <c r="H226" s="6"/>
      <c r="I226" s="7"/>
      <c r="K226" s="11"/>
    </row>
    <row r="227">
      <c r="A227" s="10"/>
      <c r="E227" s="10"/>
      <c r="F227" s="7"/>
      <c r="H227" s="6"/>
      <c r="I227" s="7"/>
      <c r="K227" s="11"/>
    </row>
    <row r="228">
      <c r="A228" s="10"/>
      <c r="E228" s="10"/>
      <c r="F228" s="7"/>
      <c r="H228" s="6"/>
      <c r="I228" s="7"/>
      <c r="K228" s="11"/>
    </row>
    <row r="229">
      <c r="A229" s="10"/>
      <c r="E229" s="10"/>
      <c r="F229" s="7"/>
      <c r="H229" s="6"/>
      <c r="I229" s="7"/>
      <c r="K229" s="11"/>
    </row>
    <row r="230">
      <c r="A230" s="10"/>
      <c r="E230" s="10"/>
      <c r="F230" s="7"/>
      <c r="H230" s="6"/>
      <c r="I230" s="7"/>
      <c r="K230" s="11"/>
    </row>
    <row r="231">
      <c r="A231" s="10"/>
      <c r="E231" s="10"/>
      <c r="F231" s="7"/>
      <c r="H231" s="6"/>
      <c r="I231" s="7"/>
      <c r="K231" s="11"/>
    </row>
    <row r="232">
      <c r="A232" s="10"/>
      <c r="E232" s="10"/>
      <c r="F232" s="7"/>
      <c r="H232" s="6"/>
      <c r="I232" s="7"/>
      <c r="K232" s="11"/>
    </row>
    <row r="233">
      <c r="A233" s="10"/>
      <c r="E233" s="10"/>
      <c r="F233" s="7"/>
      <c r="H233" s="6"/>
      <c r="I233" s="7"/>
      <c r="K233" s="11"/>
    </row>
    <row r="234">
      <c r="A234" s="10"/>
      <c r="E234" s="10"/>
      <c r="F234" s="7"/>
      <c r="H234" s="6"/>
      <c r="I234" s="7"/>
      <c r="K234" s="11"/>
    </row>
    <row r="235">
      <c r="A235" s="10"/>
      <c r="E235" s="10"/>
      <c r="F235" s="7"/>
      <c r="H235" s="6"/>
      <c r="I235" s="7"/>
      <c r="K235" s="11"/>
    </row>
    <row r="236">
      <c r="A236" s="10"/>
      <c r="E236" s="10"/>
      <c r="F236" s="7"/>
      <c r="H236" s="6"/>
      <c r="I236" s="7"/>
      <c r="K236" s="11"/>
    </row>
    <row r="237">
      <c r="A237" s="10"/>
      <c r="E237" s="10"/>
      <c r="F237" s="7"/>
      <c r="H237" s="6"/>
      <c r="I237" s="7"/>
      <c r="K237" s="11"/>
    </row>
    <row r="238">
      <c r="A238" s="10"/>
      <c r="E238" s="10"/>
      <c r="F238" s="7"/>
      <c r="H238" s="6"/>
      <c r="I238" s="7"/>
      <c r="K238" s="11"/>
    </row>
    <row r="239">
      <c r="A239" s="10"/>
      <c r="E239" s="10"/>
      <c r="F239" s="7"/>
      <c r="H239" s="6"/>
      <c r="I239" s="7"/>
      <c r="K239" s="11"/>
    </row>
    <row r="240">
      <c r="A240" s="10"/>
      <c r="E240" s="10"/>
      <c r="F240" s="7"/>
      <c r="H240" s="6"/>
      <c r="I240" s="7"/>
      <c r="K240" s="11"/>
    </row>
    <row r="241">
      <c r="A241" s="10"/>
      <c r="E241" s="10"/>
      <c r="F241" s="7"/>
      <c r="H241" s="6"/>
      <c r="I241" s="7"/>
      <c r="K241" s="11"/>
    </row>
    <row r="242">
      <c r="A242" s="10"/>
      <c r="E242" s="10"/>
      <c r="F242" s="7"/>
      <c r="H242" s="6"/>
      <c r="I242" s="7"/>
      <c r="K242" s="11"/>
    </row>
    <row r="243">
      <c r="A243" s="10"/>
      <c r="E243" s="10"/>
      <c r="F243" s="7"/>
      <c r="H243" s="6"/>
      <c r="I243" s="7"/>
      <c r="K243" s="11"/>
    </row>
    <row r="244">
      <c r="A244" s="10"/>
      <c r="E244" s="10"/>
      <c r="F244" s="7"/>
      <c r="H244" s="6"/>
      <c r="I244" s="7"/>
      <c r="K244" s="11"/>
    </row>
    <row r="245">
      <c r="A245" s="10"/>
      <c r="E245" s="10"/>
      <c r="F245" s="7"/>
      <c r="H245" s="6"/>
      <c r="I245" s="7"/>
      <c r="K245" s="11"/>
    </row>
    <row r="246">
      <c r="A246" s="10"/>
      <c r="E246" s="10"/>
      <c r="F246" s="7"/>
      <c r="H246" s="6"/>
      <c r="I246" s="7"/>
      <c r="K246" s="11"/>
    </row>
    <row r="247">
      <c r="A247" s="10"/>
      <c r="E247" s="10"/>
      <c r="F247" s="7"/>
      <c r="H247" s="6"/>
      <c r="I247" s="7"/>
      <c r="K247" s="11"/>
    </row>
    <row r="248">
      <c r="A248" s="10"/>
      <c r="E248" s="10"/>
      <c r="F248" s="7"/>
      <c r="H248" s="6"/>
      <c r="I248" s="7"/>
      <c r="K248" s="11"/>
    </row>
    <row r="249">
      <c r="A249" s="10"/>
      <c r="E249" s="10"/>
      <c r="F249" s="7"/>
      <c r="H249" s="6"/>
      <c r="I249" s="7"/>
      <c r="K249" s="11"/>
    </row>
    <row r="250">
      <c r="A250" s="10"/>
      <c r="E250" s="10"/>
      <c r="F250" s="7"/>
      <c r="H250" s="6"/>
      <c r="I250" s="7"/>
      <c r="K250" s="11"/>
    </row>
    <row r="251">
      <c r="A251" s="10"/>
      <c r="E251" s="10"/>
      <c r="F251" s="7"/>
      <c r="H251" s="6"/>
      <c r="I251" s="7"/>
      <c r="K251" s="11"/>
    </row>
    <row r="252">
      <c r="A252" s="10"/>
      <c r="E252" s="10"/>
      <c r="F252" s="7"/>
      <c r="H252" s="6"/>
      <c r="I252" s="7"/>
      <c r="K252" s="11"/>
    </row>
    <row r="253">
      <c r="A253" s="10"/>
      <c r="E253" s="10"/>
      <c r="F253" s="7"/>
      <c r="H253" s="6"/>
      <c r="I253" s="7"/>
      <c r="K253" s="11"/>
    </row>
    <row r="254">
      <c r="A254" s="10"/>
      <c r="E254" s="10"/>
      <c r="F254" s="7"/>
      <c r="H254" s="6"/>
      <c r="I254" s="7"/>
      <c r="K254" s="11"/>
    </row>
    <row r="255">
      <c r="A255" s="10"/>
      <c r="E255" s="10"/>
      <c r="F255" s="7"/>
      <c r="H255" s="6"/>
      <c r="I255" s="7"/>
      <c r="K255" s="11"/>
    </row>
    <row r="256">
      <c r="A256" s="10"/>
      <c r="E256" s="10"/>
      <c r="F256" s="7"/>
      <c r="H256" s="6"/>
      <c r="I256" s="7"/>
      <c r="K256" s="11"/>
    </row>
    <row r="257">
      <c r="A257" s="10"/>
      <c r="E257" s="10"/>
      <c r="F257" s="7"/>
      <c r="H257" s="6"/>
      <c r="I257" s="7"/>
      <c r="K257" s="11"/>
    </row>
    <row r="258">
      <c r="A258" s="10"/>
      <c r="E258" s="10"/>
      <c r="F258" s="7"/>
      <c r="H258" s="6"/>
      <c r="I258" s="7"/>
      <c r="K258" s="11"/>
    </row>
    <row r="259">
      <c r="A259" s="10"/>
      <c r="E259" s="10"/>
      <c r="F259" s="7"/>
      <c r="H259" s="6"/>
      <c r="I259" s="7"/>
      <c r="K259" s="11"/>
    </row>
    <row r="260">
      <c r="A260" s="10"/>
      <c r="E260" s="10"/>
      <c r="F260" s="7"/>
      <c r="H260" s="6"/>
      <c r="I260" s="7"/>
      <c r="K260" s="11"/>
    </row>
    <row r="261">
      <c r="A261" s="10"/>
      <c r="E261" s="10"/>
      <c r="F261" s="7"/>
      <c r="H261" s="6"/>
      <c r="I261" s="7"/>
      <c r="K261" s="11"/>
    </row>
    <row r="262">
      <c r="A262" s="10"/>
      <c r="E262" s="10"/>
      <c r="F262" s="7"/>
      <c r="H262" s="6"/>
      <c r="I262" s="7"/>
      <c r="K262" s="11"/>
    </row>
    <row r="263">
      <c r="A263" s="10"/>
      <c r="E263" s="10"/>
      <c r="F263" s="7"/>
      <c r="H263" s="6"/>
      <c r="I263" s="7"/>
      <c r="K263" s="11"/>
    </row>
    <row r="264">
      <c r="A264" s="10"/>
      <c r="E264" s="10"/>
      <c r="F264" s="7"/>
      <c r="H264" s="6"/>
      <c r="I264" s="7"/>
      <c r="K264" s="11"/>
    </row>
    <row r="265">
      <c r="A265" s="10"/>
      <c r="E265" s="10"/>
      <c r="F265" s="7"/>
      <c r="H265" s="6"/>
      <c r="I265" s="7"/>
      <c r="K265" s="11"/>
    </row>
    <row r="266">
      <c r="A266" s="10"/>
      <c r="E266" s="10"/>
      <c r="F266" s="7"/>
      <c r="H266" s="6"/>
      <c r="I266" s="7"/>
      <c r="K266" s="11"/>
    </row>
    <row r="267">
      <c r="A267" s="10"/>
      <c r="E267" s="10"/>
      <c r="F267" s="7"/>
      <c r="H267" s="6"/>
      <c r="I267" s="7"/>
      <c r="K267" s="11"/>
    </row>
    <row r="268">
      <c r="A268" s="10"/>
      <c r="E268" s="10"/>
      <c r="F268" s="7"/>
      <c r="H268" s="6"/>
      <c r="I268" s="7"/>
      <c r="K268" s="11"/>
    </row>
    <row r="269">
      <c r="A269" s="10"/>
      <c r="E269" s="10"/>
      <c r="F269" s="7"/>
      <c r="H269" s="6"/>
      <c r="I269" s="7"/>
      <c r="K269" s="11"/>
    </row>
    <row r="270">
      <c r="A270" s="10"/>
      <c r="E270" s="10"/>
      <c r="F270" s="7"/>
      <c r="H270" s="6"/>
      <c r="I270" s="7"/>
      <c r="K270" s="11"/>
    </row>
    <row r="271">
      <c r="A271" s="10"/>
      <c r="E271" s="10"/>
      <c r="F271" s="7"/>
      <c r="H271" s="6"/>
      <c r="I271" s="7"/>
      <c r="K271" s="11"/>
    </row>
    <row r="272">
      <c r="A272" s="10"/>
      <c r="E272" s="10"/>
      <c r="F272" s="7"/>
      <c r="H272" s="6"/>
      <c r="I272" s="7"/>
      <c r="K272" s="11"/>
    </row>
    <row r="273">
      <c r="A273" s="10"/>
      <c r="E273" s="10"/>
      <c r="F273" s="7"/>
      <c r="H273" s="6"/>
      <c r="I273" s="7"/>
      <c r="K273" s="11"/>
    </row>
    <row r="274">
      <c r="A274" s="10"/>
      <c r="E274" s="10"/>
      <c r="F274" s="7"/>
      <c r="H274" s="6"/>
      <c r="I274" s="7"/>
      <c r="K274" s="11"/>
    </row>
    <row r="275">
      <c r="A275" s="10"/>
      <c r="E275" s="10"/>
      <c r="F275" s="7"/>
      <c r="H275" s="6"/>
      <c r="I275" s="7"/>
      <c r="K275" s="11"/>
    </row>
    <row r="276">
      <c r="A276" s="10"/>
      <c r="E276" s="10"/>
      <c r="F276" s="7"/>
      <c r="H276" s="6"/>
      <c r="I276" s="7"/>
      <c r="K276" s="11"/>
    </row>
    <row r="277">
      <c r="A277" s="10"/>
      <c r="E277" s="10"/>
      <c r="F277" s="7"/>
      <c r="H277" s="6"/>
      <c r="I277" s="7"/>
      <c r="K277" s="11"/>
    </row>
    <row r="278">
      <c r="A278" s="10"/>
      <c r="E278" s="10"/>
      <c r="F278" s="7"/>
      <c r="H278" s="6"/>
      <c r="I278" s="7"/>
      <c r="K278" s="11"/>
    </row>
    <row r="279">
      <c r="A279" s="10"/>
      <c r="E279" s="10"/>
      <c r="F279" s="7"/>
      <c r="H279" s="6"/>
      <c r="I279" s="7"/>
      <c r="K279" s="11"/>
    </row>
    <row r="280">
      <c r="A280" s="10"/>
      <c r="E280" s="10"/>
      <c r="F280" s="7"/>
      <c r="H280" s="6"/>
      <c r="I280" s="7"/>
      <c r="K280" s="11"/>
    </row>
    <row r="281">
      <c r="A281" s="10"/>
      <c r="E281" s="10"/>
      <c r="F281" s="7"/>
      <c r="H281" s="6"/>
      <c r="I281" s="7"/>
      <c r="K281" s="11"/>
    </row>
    <row r="282">
      <c r="A282" s="10"/>
      <c r="E282" s="10"/>
      <c r="F282" s="7"/>
      <c r="H282" s="6"/>
      <c r="I282" s="7"/>
      <c r="K282" s="11"/>
    </row>
    <row r="283">
      <c r="A283" s="10"/>
      <c r="E283" s="10"/>
      <c r="F283" s="7"/>
      <c r="H283" s="6"/>
      <c r="I283" s="7"/>
      <c r="K283" s="11"/>
    </row>
    <row r="284">
      <c r="A284" s="10"/>
      <c r="E284" s="10"/>
      <c r="F284" s="7"/>
      <c r="H284" s="6"/>
      <c r="I284" s="7"/>
      <c r="K284" s="11"/>
    </row>
    <row r="285">
      <c r="A285" s="10"/>
      <c r="E285" s="10"/>
      <c r="F285" s="7"/>
      <c r="H285" s="6"/>
      <c r="I285" s="7"/>
      <c r="K285" s="11"/>
    </row>
    <row r="286">
      <c r="A286" s="10"/>
      <c r="E286" s="10"/>
      <c r="F286" s="7"/>
      <c r="H286" s="6"/>
      <c r="I286" s="7"/>
      <c r="K286" s="11"/>
    </row>
    <row r="287">
      <c r="A287" s="10"/>
      <c r="E287" s="10"/>
      <c r="F287" s="7"/>
      <c r="H287" s="6"/>
      <c r="I287" s="7"/>
      <c r="K287" s="11"/>
    </row>
    <row r="288">
      <c r="A288" s="10"/>
      <c r="E288" s="10"/>
      <c r="F288" s="7"/>
      <c r="H288" s="6"/>
      <c r="I288" s="7"/>
      <c r="K288" s="11"/>
    </row>
    <row r="289">
      <c r="A289" s="10"/>
      <c r="E289" s="10"/>
      <c r="F289" s="7"/>
      <c r="H289" s="6"/>
      <c r="I289" s="7"/>
      <c r="K289" s="11"/>
    </row>
    <row r="290">
      <c r="A290" s="10"/>
      <c r="E290" s="10"/>
      <c r="F290" s="7"/>
      <c r="H290" s="6"/>
      <c r="I290" s="7"/>
      <c r="K290" s="11"/>
    </row>
    <row r="291">
      <c r="A291" s="10"/>
      <c r="E291" s="10"/>
      <c r="F291" s="7"/>
      <c r="H291" s="6"/>
      <c r="I291" s="7"/>
      <c r="K291" s="11"/>
    </row>
    <row r="292">
      <c r="A292" s="10"/>
      <c r="E292" s="10"/>
      <c r="F292" s="7"/>
      <c r="H292" s="6"/>
      <c r="I292" s="7"/>
      <c r="K292" s="11"/>
    </row>
    <row r="293">
      <c r="A293" s="10"/>
      <c r="E293" s="10"/>
      <c r="F293" s="7"/>
      <c r="H293" s="6"/>
      <c r="I293" s="7"/>
      <c r="K293" s="11"/>
    </row>
    <row r="294">
      <c r="A294" s="10"/>
      <c r="E294" s="10"/>
      <c r="F294" s="7"/>
      <c r="H294" s="6"/>
      <c r="I294" s="7"/>
      <c r="K294" s="11"/>
    </row>
    <row r="295">
      <c r="A295" s="10"/>
      <c r="E295" s="10"/>
      <c r="F295" s="7"/>
      <c r="H295" s="6"/>
      <c r="I295" s="7"/>
      <c r="K295" s="11"/>
    </row>
    <row r="296">
      <c r="A296" s="10"/>
      <c r="E296" s="10"/>
      <c r="F296" s="7"/>
      <c r="H296" s="6"/>
      <c r="I296" s="7"/>
      <c r="K296" s="11"/>
    </row>
    <row r="297">
      <c r="A297" s="10"/>
      <c r="E297" s="10"/>
      <c r="F297" s="7"/>
      <c r="H297" s="6"/>
      <c r="I297" s="7"/>
      <c r="K297" s="11"/>
    </row>
    <row r="298">
      <c r="A298" s="10"/>
      <c r="E298" s="10"/>
      <c r="F298" s="7"/>
      <c r="H298" s="6"/>
      <c r="I298" s="7"/>
      <c r="K298" s="11"/>
    </row>
    <row r="299">
      <c r="A299" s="10"/>
      <c r="E299" s="10"/>
      <c r="F299" s="7"/>
      <c r="H299" s="6"/>
      <c r="I299" s="7"/>
      <c r="K299" s="11"/>
    </row>
    <row r="300">
      <c r="A300" s="10"/>
      <c r="E300" s="10"/>
      <c r="F300" s="7"/>
      <c r="H300" s="6"/>
      <c r="I300" s="7"/>
      <c r="K300" s="11"/>
    </row>
    <row r="301">
      <c r="A301" s="10"/>
      <c r="E301" s="10"/>
      <c r="F301" s="7"/>
      <c r="H301" s="6"/>
      <c r="I301" s="7"/>
      <c r="K301" s="11"/>
    </row>
    <row r="302">
      <c r="A302" s="10"/>
      <c r="E302" s="10"/>
      <c r="F302" s="7"/>
      <c r="H302" s="6"/>
      <c r="I302" s="7"/>
      <c r="K302" s="11"/>
    </row>
    <row r="303">
      <c r="A303" s="10"/>
      <c r="E303" s="10"/>
      <c r="F303" s="7"/>
      <c r="H303" s="6"/>
      <c r="I303" s="7"/>
      <c r="K303" s="11"/>
    </row>
    <row r="304">
      <c r="A304" s="10"/>
      <c r="E304" s="10"/>
      <c r="F304" s="7"/>
      <c r="H304" s="6"/>
      <c r="I304" s="7"/>
      <c r="K304" s="11"/>
    </row>
    <row r="305">
      <c r="A305" s="10"/>
      <c r="E305" s="10"/>
      <c r="F305" s="7"/>
      <c r="H305" s="6"/>
      <c r="I305" s="7"/>
      <c r="K305" s="11"/>
    </row>
    <row r="306">
      <c r="A306" s="10"/>
      <c r="E306" s="10"/>
      <c r="F306" s="7"/>
      <c r="H306" s="6"/>
      <c r="I306" s="7"/>
      <c r="K306" s="11"/>
    </row>
    <row r="307">
      <c r="A307" s="10"/>
      <c r="E307" s="10"/>
      <c r="F307" s="7"/>
      <c r="H307" s="6"/>
      <c r="I307" s="7"/>
      <c r="K307" s="11"/>
    </row>
    <row r="308">
      <c r="A308" s="10"/>
      <c r="E308" s="10"/>
      <c r="F308" s="7"/>
      <c r="H308" s="6"/>
      <c r="I308" s="7"/>
      <c r="K308" s="11"/>
    </row>
    <row r="309">
      <c r="A309" s="10"/>
      <c r="E309" s="10"/>
      <c r="F309" s="7"/>
      <c r="H309" s="6"/>
      <c r="I309" s="7"/>
      <c r="K309" s="11"/>
    </row>
    <row r="310">
      <c r="A310" s="10"/>
      <c r="E310" s="10"/>
      <c r="F310" s="7"/>
      <c r="H310" s="6"/>
      <c r="I310" s="7"/>
      <c r="K310" s="11"/>
    </row>
    <row r="311">
      <c r="A311" s="10"/>
      <c r="E311" s="10"/>
      <c r="F311" s="7"/>
      <c r="H311" s="6"/>
      <c r="I311" s="7"/>
      <c r="K311" s="11"/>
    </row>
    <row r="312">
      <c r="A312" s="10"/>
      <c r="E312" s="10"/>
      <c r="F312" s="7"/>
      <c r="H312" s="6"/>
      <c r="I312" s="7"/>
      <c r="K312" s="11"/>
    </row>
    <row r="313">
      <c r="A313" s="10"/>
      <c r="E313" s="10"/>
      <c r="F313" s="7"/>
      <c r="H313" s="6"/>
      <c r="I313" s="7"/>
      <c r="K313" s="11"/>
    </row>
    <row r="314">
      <c r="A314" s="10"/>
      <c r="E314" s="10"/>
      <c r="F314" s="7"/>
      <c r="H314" s="6"/>
      <c r="I314" s="7"/>
      <c r="K314" s="11"/>
    </row>
    <row r="315">
      <c r="A315" s="10"/>
      <c r="E315" s="10"/>
      <c r="F315" s="7"/>
      <c r="H315" s="6"/>
      <c r="I315" s="7"/>
      <c r="K315" s="11"/>
    </row>
    <row r="316">
      <c r="A316" s="10"/>
      <c r="E316" s="10"/>
      <c r="F316" s="7"/>
      <c r="H316" s="6"/>
      <c r="I316" s="7"/>
      <c r="K316" s="11"/>
    </row>
    <row r="317">
      <c r="A317" s="10"/>
      <c r="E317" s="10"/>
      <c r="F317" s="7"/>
      <c r="H317" s="6"/>
      <c r="I317" s="7"/>
      <c r="K317" s="11"/>
    </row>
    <row r="318">
      <c r="A318" s="10"/>
      <c r="E318" s="10"/>
      <c r="F318" s="7"/>
      <c r="H318" s="6"/>
      <c r="I318" s="7"/>
      <c r="K318" s="11"/>
    </row>
    <row r="319">
      <c r="A319" s="10"/>
      <c r="E319" s="10"/>
      <c r="F319" s="7"/>
      <c r="H319" s="6"/>
      <c r="I319" s="7"/>
      <c r="K319" s="11"/>
    </row>
    <row r="320">
      <c r="A320" s="10"/>
      <c r="E320" s="10"/>
      <c r="F320" s="7"/>
      <c r="H320" s="6"/>
      <c r="I320" s="7"/>
      <c r="K320" s="11"/>
    </row>
    <row r="321">
      <c r="A321" s="10"/>
      <c r="E321" s="10"/>
      <c r="F321" s="7"/>
      <c r="H321" s="6"/>
      <c r="I321" s="7"/>
      <c r="K321" s="11"/>
    </row>
    <row r="322">
      <c r="A322" s="10"/>
      <c r="E322" s="10"/>
      <c r="F322" s="7"/>
      <c r="H322" s="6"/>
      <c r="I322" s="7"/>
      <c r="K322" s="11"/>
    </row>
    <row r="323">
      <c r="A323" s="10"/>
      <c r="E323" s="10"/>
      <c r="F323" s="7"/>
      <c r="H323" s="6"/>
      <c r="I323" s="7"/>
      <c r="K323" s="11"/>
    </row>
    <row r="324">
      <c r="A324" s="10"/>
      <c r="E324" s="10"/>
      <c r="F324" s="7"/>
      <c r="H324" s="6"/>
      <c r="I324" s="7"/>
      <c r="K324" s="11"/>
    </row>
    <row r="325">
      <c r="A325" s="10"/>
      <c r="E325" s="10"/>
      <c r="F325" s="7"/>
      <c r="H325" s="6"/>
      <c r="I325" s="7"/>
      <c r="K325" s="11"/>
    </row>
    <row r="326">
      <c r="A326" s="10"/>
      <c r="E326" s="10"/>
      <c r="F326" s="7"/>
      <c r="H326" s="6"/>
      <c r="I326" s="7"/>
      <c r="K326" s="11"/>
    </row>
    <row r="327">
      <c r="A327" s="10"/>
      <c r="E327" s="10"/>
      <c r="F327" s="7"/>
      <c r="H327" s="6"/>
      <c r="I327" s="7"/>
      <c r="K327" s="11"/>
    </row>
    <row r="328">
      <c r="A328" s="10"/>
      <c r="E328" s="10"/>
      <c r="F328" s="7"/>
      <c r="H328" s="6"/>
      <c r="I328" s="7"/>
      <c r="K328" s="11"/>
    </row>
    <row r="329">
      <c r="A329" s="10"/>
      <c r="E329" s="10"/>
      <c r="F329" s="7"/>
      <c r="H329" s="6"/>
      <c r="I329" s="7"/>
      <c r="K329" s="11"/>
    </row>
    <row r="330">
      <c r="A330" s="10"/>
      <c r="E330" s="10"/>
      <c r="F330" s="7"/>
      <c r="H330" s="6"/>
      <c r="I330" s="7"/>
      <c r="K330" s="11"/>
    </row>
    <row r="331">
      <c r="A331" s="10"/>
      <c r="E331" s="10"/>
      <c r="F331" s="7"/>
      <c r="H331" s="6"/>
      <c r="I331" s="7"/>
      <c r="K331" s="11"/>
    </row>
    <row r="332">
      <c r="A332" s="10"/>
      <c r="E332" s="10"/>
      <c r="F332" s="7"/>
      <c r="H332" s="6"/>
      <c r="I332" s="7"/>
      <c r="K332" s="11"/>
    </row>
    <row r="333">
      <c r="A333" s="10"/>
      <c r="E333" s="10"/>
      <c r="F333" s="7"/>
      <c r="H333" s="6"/>
      <c r="I333" s="7"/>
      <c r="K333" s="11"/>
    </row>
    <row r="334">
      <c r="A334" s="10"/>
      <c r="E334" s="10"/>
      <c r="F334" s="7"/>
      <c r="H334" s="6"/>
      <c r="I334" s="7"/>
      <c r="K334" s="11"/>
    </row>
    <row r="335">
      <c r="A335" s="10"/>
      <c r="E335" s="10"/>
      <c r="F335" s="7"/>
      <c r="H335" s="6"/>
      <c r="I335" s="7"/>
      <c r="K335" s="11"/>
    </row>
    <row r="336">
      <c r="A336" s="10"/>
      <c r="E336" s="10"/>
      <c r="F336" s="7"/>
      <c r="H336" s="6"/>
      <c r="I336" s="7"/>
      <c r="K336" s="11"/>
    </row>
    <row r="337">
      <c r="A337" s="10"/>
      <c r="E337" s="10"/>
      <c r="F337" s="7"/>
      <c r="H337" s="6"/>
      <c r="I337" s="7"/>
      <c r="K337" s="11"/>
    </row>
    <row r="338">
      <c r="A338" s="10"/>
      <c r="E338" s="10"/>
      <c r="F338" s="7"/>
      <c r="H338" s="6"/>
      <c r="I338" s="7"/>
      <c r="K338" s="11"/>
    </row>
    <row r="339">
      <c r="A339" s="10"/>
      <c r="E339" s="10"/>
      <c r="F339" s="7"/>
      <c r="H339" s="6"/>
      <c r="I339" s="7"/>
      <c r="K339" s="11"/>
    </row>
    <row r="340">
      <c r="A340" s="10"/>
      <c r="E340" s="10"/>
      <c r="F340" s="7"/>
      <c r="H340" s="6"/>
      <c r="I340" s="7"/>
      <c r="K340" s="11"/>
    </row>
    <row r="341">
      <c r="A341" s="10"/>
      <c r="E341" s="10"/>
      <c r="F341" s="7"/>
      <c r="H341" s="6"/>
      <c r="I341" s="7"/>
      <c r="K341" s="11"/>
    </row>
    <row r="342">
      <c r="A342" s="10"/>
      <c r="E342" s="10"/>
      <c r="F342" s="7"/>
      <c r="H342" s="6"/>
      <c r="I342" s="7"/>
      <c r="K342" s="11"/>
    </row>
    <row r="343">
      <c r="A343" s="10"/>
      <c r="E343" s="10"/>
      <c r="F343" s="7"/>
      <c r="H343" s="6"/>
      <c r="I343" s="7"/>
      <c r="K343" s="11"/>
    </row>
    <row r="344">
      <c r="A344" s="10"/>
      <c r="E344" s="10"/>
      <c r="F344" s="7"/>
      <c r="H344" s="6"/>
      <c r="I344" s="7"/>
      <c r="K344" s="11"/>
    </row>
    <row r="345">
      <c r="A345" s="10"/>
      <c r="E345" s="10"/>
      <c r="F345" s="7"/>
      <c r="H345" s="6"/>
      <c r="I345" s="7"/>
      <c r="K345" s="11"/>
    </row>
    <row r="346">
      <c r="A346" s="10"/>
      <c r="E346" s="10"/>
      <c r="F346" s="7"/>
      <c r="H346" s="6"/>
      <c r="I346" s="7"/>
      <c r="K346" s="11"/>
    </row>
    <row r="347">
      <c r="A347" s="10"/>
      <c r="E347" s="10"/>
      <c r="F347" s="7"/>
      <c r="H347" s="6"/>
      <c r="I347" s="7"/>
      <c r="K347" s="11"/>
    </row>
    <row r="348">
      <c r="A348" s="10"/>
      <c r="E348" s="10"/>
      <c r="F348" s="7"/>
      <c r="H348" s="6"/>
      <c r="I348" s="7"/>
      <c r="K348" s="11"/>
    </row>
    <row r="349">
      <c r="A349" s="10"/>
      <c r="E349" s="10"/>
      <c r="F349" s="7"/>
      <c r="H349" s="6"/>
      <c r="I349" s="7"/>
      <c r="K349" s="11"/>
    </row>
    <row r="350">
      <c r="A350" s="10"/>
      <c r="E350" s="10"/>
      <c r="F350" s="7"/>
      <c r="H350" s="6"/>
      <c r="I350" s="7"/>
      <c r="K350" s="11"/>
    </row>
    <row r="351">
      <c r="A351" s="10"/>
      <c r="E351" s="10"/>
      <c r="F351" s="7"/>
      <c r="H351" s="6"/>
      <c r="I351" s="7"/>
      <c r="K351" s="11"/>
    </row>
    <row r="352">
      <c r="A352" s="10"/>
      <c r="E352" s="10"/>
      <c r="F352" s="7"/>
      <c r="H352" s="6"/>
      <c r="I352" s="7"/>
      <c r="K352" s="11"/>
    </row>
    <row r="353">
      <c r="A353" s="10"/>
      <c r="E353" s="10"/>
      <c r="F353" s="7"/>
      <c r="H353" s="6"/>
      <c r="I353" s="7"/>
      <c r="K353" s="11"/>
    </row>
    <row r="354">
      <c r="A354" s="10"/>
      <c r="E354" s="10"/>
      <c r="F354" s="7"/>
      <c r="H354" s="6"/>
      <c r="I354" s="7"/>
      <c r="K354" s="11"/>
    </row>
    <row r="355">
      <c r="A355" s="10"/>
      <c r="E355" s="10"/>
      <c r="F355" s="7"/>
      <c r="H355" s="6"/>
      <c r="I355" s="7"/>
      <c r="K355" s="11"/>
    </row>
    <row r="356">
      <c r="A356" s="10"/>
      <c r="E356" s="10"/>
      <c r="F356" s="7"/>
      <c r="H356" s="6"/>
      <c r="I356" s="7"/>
      <c r="K356" s="11"/>
    </row>
    <row r="357">
      <c r="A357" s="10"/>
      <c r="E357" s="10"/>
      <c r="F357" s="7"/>
      <c r="H357" s="6"/>
      <c r="I357" s="7"/>
      <c r="K357" s="11"/>
    </row>
    <row r="358">
      <c r="A358" s="10"/>
      <c r="E358" s="10"/>
      <c r="F358" s="7"/>
      <c r="H358" s="6"/>
      <c r="I358" s="7"/>
      <c r="K358" s="11"/>
    </row>
    <row r="359">
      <c r="A359" s="10"/>
      <c r="E359" s="10"/>
      <c r="F359" s="7"/>
      <c r="H359" s="6"/>
      <c r="I359" s="7"/>
      <c r="K359" s="11"/>
    </row>
    <row r="360">
      <c r="A360" s="10"/>
      <c r="E360" s="10"/>
      <c r="F360" s="7"/>
      <c r="H360" s="6"/>
      <c r="I360" s="7"/>
      <c r="K360" s="11"/>
    </row>
    <row r="361">
      <c r="A361" s="10"/>
      <c r="E361" s="10"/>
      <c r="F361" s="7"/>
      <c r="H361" s="6"/>
      <c r="I361" s="7"/>
      <c r="K361" s="11"/>
    </row>
    <row r="362">
      <c r="A362" s="10"/>
      <c r="E362" s="10"/>
      <c r="F362" s="7"/>
      <c r="H362" s="6"/>
      <c r="I362" s="7"/>
      <c r="K362" s="11"/>
    </row>
    <row r="363">
      <c r="A363" s="10"/>
      <c r="E363" s="10"/>
      <c r="F363" s="7"/>
      <c r="H363" s="6"/>
      <c r="I363" s="7"/>
      <c r="K363" s="11"/>
    </row>
    <row r="364">
      <c r="A364" s="10"/>
      <c r="E364" s="10"/>
      <c r="F364" s="7"/>
      <c r="H364" s="6"/>
      <c r="I364" s="7"/>
      <c r="K364" s="11"/>
    </row>
    <row r="365">
      <c r="A365" s="10"/>
      <c r="E365" s="10"/>
      <c r="F365" s="7"/>
      <c r="H365" s="6"/>
      <c r="I365" s="7"/>
      <c r="K365" s="11"/>
    </row>
    <row r="366">
      <c r="A366" s="10"/>
      <c r="E366" s="10"/>
      <c r="F366" s="7"/>
      <c r="H366" s="6"/>
      <c r="I366" s="7"/>
      <c r="K366" s="11"/>
    </row>
    <row r="367">
      <c r="A367" s="10"/>
      <c r="E367" s="10"/>
      <c r="F367" s="7"/>
      <c r="H367" s="6"/>
      <c r="I367" s="7"/>
      <c r="K367" s="11"/>
    </row>
    <row r="368">
      <c r="A368" s="10"/>
      <c r="E368" s="10"/>
      <c r="F368" s="7"/>
      <c r="H368" s="6"/>
      <c r="I368" s="7"/>
      <c r="K368" s="11"/>
    </row>
    <row r="369">
      <c r="A369" s="10"/>
      <c r="E369" s="10"/>
      <c r="F369" s="7"/>
      <c r="H369" s="6"/>
      <c r="I369" s="7"/>
      <c r="K369" s="11"/>
    </row>
    <row r="370">
      <c r="A370" s="10"/>
      <c r="E370" s="10"/>
      <c r="F370" s="7"/>
      <c r="H370" s="6"/>
      <c r="I370" s="7"/>
      <c r="K370" s="11"/>
    </row>
    <row r="371">
      <c r="A371" s="10"/>
      <c r="E371" s="10"/>
      <c r="F371" s="7"/>
      <c r="H371" s="6"/>
      <c r="I371" s="7"/>
      <c r="K371" s="11"/>
    </row>
    <row r="372">
      <c r="A372" s="10"/>
      <c r="E372" s="10"/>
      <c r="F372" s="7"/>
      <c r="H372" s="6"/>
      <c r="I372" s="7"/>
      <c r="K372" s="11"/>
    </row>
    <row r="373">
      <c r="A373" s="10"/>
      <c r="E373" s="10"/>
      <c r="F373" s="7"/>
      <c r="H373" s="6"/>
      <c r="I373" s="7"/>
      <c r="K373" s="11"/>
    </row>
    <row r="374">
      <c r="A374" s="10"/>
      <c r="E374" s="10"/>
      <c r="F374" s="7"/>
      <c r="H374" s="6"/>
      <c r="I374" s="7"/>
      <c r="K374" s="11"/>
    </row>
    <row r="375">
      <c r="A375" s="10"/>
      <c r="E375" s="10"/>
      <c r="F375" s="7"/>
      <c r="H375" s="6"/>
      <c r="I375" s="7"/>
      <c r="K375" s="11"/>
    </row>
    <row r="376">
      <c r="A376" s="10"/>
      <c r="E376" s="10"/>
      <c r="F376" s="7"/>
      <c r="H376" s="6"/>
      <c r="I376" s="7"/>
      <c r="K376" s="11"/>
    </row>
    <row r="377">
      <c r="A377" s="10"/>
      <c r="E377" s="10"/>
      <c r="F377" s="7"/>
      <c r="H377" s="6"/>
      <c r="I377" s="7"/>
      <c r="K377" s="11"/>
    </row>
    <row r="378">
      <c r="A378" s="10"/>
      <c r="E378" s="10"/>
      <c r="F378" s="7"/>
      <c r="H378" s="6"/>
      <c r="I378" s="7"/>
      <c r="K378" s="11"/>
    </row>
    <row r="379">
      <c r="A379" s="10"/>
      <c r="E379" s="10"/>
      <c r="F379" s="7"/>
      <c r="H379" s="6"/>
      <c r="I379" s="7"/>
      <c r="K379" s="11"/>
    </row>
    <row r="380">
      <c r="A380" s="10"/>
      <c r="E380" s="10"/>
      <c r="F380" s="7"/>
      <c r="H380" s="6"/>
      <c r="I380" s="7"/>
      <c r="K380" s="11"/>
    </row>
    <row r="381">
      <c r="A381" s="10"/>
      <c r="E381" s="10"/>
      <c r="F381" s="7"/>
      <c r="H381" s="6"/>
      <c r="I381" s="7"/>
      <c r="K381" s="11"/>
    </row>
    <row r="382">
      <c r="A382" s="10"/>
      <c r="E382" s="10"/>
      <c r="F382" s="7"/>
      <c r="H382" s="6"/>
      <c r="I382" s="7"/>
      <c r="K382" s="11"/>
    </row>
    <row r="383">
      <c r="A383" s="10"/>
      <c r="E383" s="10"/>
      <c r="F383" s="7"/>
      <c r="H383" s="6"/>
      <c r="I383" s="7"/>
      <c r="K383" s="11"/>
    </row>
    <row r="384">
      <c r="A384" s="10"/>
      <c r="E384" s="10"/>
      <c r="F384" s="7"/>
      <c r="H384" s="6"/>
      <c r="I384" s="7"/>
      <c r="K384" s="11"/>
    </row>
    <row r="385">
      <c r="A385" s="10"/>
      <c r="E385" s="10"/>
      <c r="F385" s="7"/>
      <c r="H385" s="6"/>
      <c r="I385" s="7"/>
      <c r="K385" s="11"/>
    </row>
    <row r="386">
      <c r="A386" s="10"/>
      <c r="E386" s="10"/>
      <c r="F386" s="7"/>
      <c r="H386" s="6"/>
      <c r="I386" s="7"/>
      <c r="K386" s="11"/>
    </row>
    <row r="387">
      <c r="A387" s="10"/>
      <c r="E387" s="10"/>
      <c r="F387" s="7"/>
      <c r="H387" s="6"/>
      <c r="I387" s="7"/>
      <c r="K387" s="11"/>
    </row>
    <row r="388">
      <c r="A388" s="10"/>
      <c r="E388" s="10"/>
      <c r="F388" s="7"/>
      <c r="H388" s="6"/>
      <c r="I388" s="7"/>
      <c r="K388" s="11"/>
    </row>
    <row r="389">
      <c r="A389" s="10"/>
      <c r="E389" s="10"/>
      <c r="F389" s="7"/>
      <c r="H389" s="6"/>
      <c r="I389" s="7"/>
      <c r="K389" s="11"/>
    </row>
    <row r="390">
      <c r="A390" s="10"/>
      <c r="E390" s="10"/>
      <c r="F390" s="7"/>
      <c r="H390" s="6"/>
      <c r="I390" s="7"/>
      <c r="K390" s="11"/>
    </row>
    <row r="391">
      <c r="A391" s="10"/>
      <c r="E391" s="10"/>
      <c r="F391" s="7"/>
      <c r="H391" s="6"/>
      <c r="I391" s="7"/>
      <c r="K391" s="11"/>
    </row>
    <row r="392">
      <c r="A392" s="10"/>
      <c r="E392" s="10"/>
      <c r="F392" s="7"/>
      <c r="H392" s="6"/>
      <c r="I392" s="7"/>
      <c r="K392" s="11"/>
    </row>
    <row r="393">
      <c r="A393" s="10"/>
      <c r="E393" s="10"/>
      <c r="F393" s="7"/>
      <c r="H393" s="6"/>
      <c r="I393" s="7"/>
      <c r="K393" s="11"/>
    </row>
    <row r="394">
      <c r="A394" s="10"/>
      <c r="E394" s="10"/>
      <c r="F394" s="7"/>
      <c r="H394" s="6"/>
      <c r="I394" s="7"/>
      <c r="K394" s="11"/>
    </row>
    <row r="395">
      <c r="A395" s="10"/>
      <c r="E395" s="10"/>
      <c r="F395" s="7"/>
      <c r="H395" s="6"/>
      <c r="I395" s="7"/>
      <c r="K395" s="11"/>
    </row>
    <row r="396">
      <c r="A396" s="10"/>
      <c r="E396" s="10"/>
      <c r="F396" s="7"/>
      <c r="H396" s="6"/>
      <c r="I396" s="7"/>
      <c r="K396" s="11"/>
    </row>
    <row r="397">
      <c r="A397" s="10"/>
      <c r="E397" s="10"/>
      <c r="F397" s="7"/>
      <c r="H397" s="6"/>
      <c r="I397" s="7"/>
      <c r="K397" s="11"/>
    </row>
    <row r="398">
      <c r="A398" s="10"/>
      <c r="E398" s="10"/>
      <c r="F398" s="7"/>
      <c r="H398" s="6"/>
      <c r="I398" s="7"/>
      <c r="K398" s="11"/>
    </row>
    <row r="399">
      <c r="A399" s="10"/>
      <c r="E399" s="10"/>
      <c r="F399" s="7"/>
      <c r="H399" s="6"/>
      <c r="I399" s="7"/>
      <c r="K399" s="11"/>
    </row>
    <row r="400">
      <c r="A400" s="10"/>
      <c r="E400" s="10"/>
      <c r="F400" s="7"/>
      <c r="H400" s="6"/>
      <c r="I400" s="7"/>
      <c r="K400" s="11"/>
    </row>
    <row r="401">
      <c r="A401" s="10"/>
      <c r="E401" s="10"/>
      <c r="F401" s="7"/>
      <c r="H401" s="6"/>
      <c r="I401" s="7"/>
      <c r="K401" s="11"/>
    </row>
    <row r="402">
      <c r="A402" s="10"/>
      <c r="E402" s="10"/>
      <c r="F402" s="7"/>
      <c r="H402" s="6"/>
      <c r="I402" s="7"/>
      <c r="K402" s="11"/>
    </row>
    <row r="403">
      <c r="A403" s="10"/>
      <c r="E403" s="10"/>
      <c r="F403" s="7"/>
      <c r="H403" s="6"/>
      <c r="I403" s="7"/>
      <c r="K403" s="11"/>
    </row>
    <row r="404">
      <c r="A404" s="10"/>
      <c r="E404" s="10"/>
      <c r="F404" s="7"/>
      <c r="H404" s="6"/>
      <c r="I404" s="7"/>
      <c r="K404" s="11"/>
    </row>
    <row r="405">
      <c r="A405" s="10"/>
      <c r="E405" s="10"/>
      <c r="F405" s="7"/>
      <c r="H405" s="6"/>
      <c r="I405" s="7"/>
      <c r="K405" s="11"/>
    </row>
    <row r="406">
      <c r="A406" s="10"/>
      <c r="E406" s="10"/>
      <c r="F406" s="7"/>
      <c r="H406" s="6"/>
      <c r="I406" s="7"/>
      <c r="K406" s="11"/>
    </row>
    <row r="407">
      <c r="A407" s="10"/>
      <c r="E407" s="10"/>
      <c r="F407" s="7"/>
      <c r="H407" s="6"/>
      <c r="I407" s="7"/>
      <c r="K407" s="11"/>
    </row>
    <row r="408">
      <c r="A408" s="10"/>
      <c r="E408" s="10"/>
      <c r="F408" s="7"/>
      <c r="H408" s="6"/>
      <c r="I408" s="7"/>
      <c r="K408" s="11"/>
    </row>
    <row r="409">
      <c r="A409" s="10"/>
      <c r="E409" s="10"/>
      <c r="F409" s="7"/>
      <c r="H409" s="6"/>
      <c r="I409" s="7"/>
      <c r="K409" s="11"/>
    </row>
    <row r="410">
      <c r="A410" s="10"/>
      <c r="E410" s="10"/>
      <c r="F410" s="7"/>
      <c r="H410" s="6"/>
      <c r="I410" s="7"/>
      <c r="K410" s="11"/>
    </row>
    <row r="411">
      <c r="A411" s="10"/>
      <c r="E411" s="10"/>
      <c r="F411" s="7"/>
      <c r="H411" s="6"/>
      <c r="I411" s="7"/>
      <c r="K411" s="11"/>
    </row>
    <row r="412">
      <c r="A412" s="10"/>
      <c r="E412" s="10"/>
      <c r="F412" s="7"/>
      <c r="H412" s="6"/>
      <c r="I412" s="7"/>
      <c r="K412" s="11"/>
    </row>
    <row r="413">
      <c r="A413" s="10"/>
      <c r="E413" s="10"/>
      <c r="F413" s="7"/>
      <c r="H413" s="6"/>
      <c r="I413" s="7"/>
      <c r="K413" s="11"/>
    </row>
    <row r="414">
      <c r="A414" s="10"/>
      <c r="E414" s="10"/>
      <c r="F414" s="7"/>
      <c r="H414" s="6"/>
      <c r="I414" s="7"/>
      <c r="K414" s="11"/>
    </row>
    <row r="415">
      <c r="A415" s="10"/>
      <c r="E415" s="10"/>
      <c r="F415" s="7"/>
      <c r="H415" s="6"/>
      <c r="I415" s="7"/>
      <c r="K415" s="11"/>
    </row>
    <row r="416">
      <c r="A416" s="10"/>
      <c r="E416" s="10"/>
      <c r="F416" s="7"/>
      <c r="H416" s="6"/>
      <c r="I416" s="7"/>
      <c r="K416" s="11"/>
    </row>
    <row r="417">
      <c r="A417" s="10"/>
      <c r="E417" s="10"/>
      <c r="F417" s="7"/>
      <c r="H417" s="6"/>
      <c r="I417" s="7"/>
      <c r="K417" s="11"/>
    </row>
    <row r="418">
      <c r="A418" s="10"/>
      <c r="E418" s="10"/>
      <c r="F418" s="7"/>
      <c r="H418" s="6"/>
      <c r="I418" s="7"/>
      <c r="K418" s="11"/>
    </row>
    <row r="419">
      <c r="A419" s="10"/>
      <c r="E419" s="10"/>
      <c r="F419" s="7"/>
      <c r="H419" s="6"/>
      <c r="I419" s="7"/>
      <c r="K419" s="11"/>
    </row>
    <row r="420">
      <c r="A420" s="10"/>
      <c r="E420" s="10"/>
      <c r="F420" s="7"/>
      <c r="H420" s="6"/>
      <c r="I420" s="7"/>
      <c r="K420" s="11"/>
    </row>
    <row r="421">
      <c r="A421" s="10"/>
      <c r="E421" s="10"/>
      <c r="F421" s="7"/>
      <c r="H421" s="6"/>
      <c r="I421" s="7"/>
      <c r="K421" s="11"/>
    </row>
    <row r="422">
      <c r="A422" s="10"/>
      <c r="E422" s="10"/>
      <c r="F422" s="7"/>
      <c r="H422" s="6"/>
      <c r="I422" s="7"/>
      <c r="K422" s="11"/>
    </row>
    <row r="423">
      <c r="A423" s="10"/>
      <c r="E423" s="10"/>
      <c r="F423" s="7"/>
      <c r="H423" s="6"/>
      <c r="I423" s="7"/>
      <c r="K423" s="11"/>
    </row>
    <row r="424">
      <c r="A424" s="10"/>
      <c r="E424" s="10"/>
      <c r="F424" s="7"/>
      <c r="H424" s="6"/>
      <c r="I424" s="7"/>
      <c r="K424" s="11"/>
    </row>
    <row r="425">
      <c r="A425" s="10"/>
      <c r="E425" s="10"/>
      <c r="F425" s="7"/>
      <c r="H425" s="6"/>
      <c r="I425" s="7"/>
      <c r="K425" s="11"/>
    </row>
    <row r="426">
      <c r="A426" s="10"/>
      <c r="E426" s="10"/>
      <c r="F426" s="7"/>
      <c r="H426" s="6"/>
      <c r="I426" s="7"/>
      <c r="K426" s="11"/>
    </row>
    <row r="427">
      <c r="A427" s="10"/>
      <c r="E427" s="10"/>
      <c r="F427" s="7"/>
      <c r="H427" s="6"/>
      <c r="I427" s="7"/>
      <c r="K427" s="11"/>
    </row>
    <row r="428">
      <c r="A428" s="10"/>
      <c r="E428" s="10"/>
      <c r="F428" s="7"/>
      <c r="H428" s="6"/>
      <c r="I428" s="7"/>
      <c r="K428" s="11"/>
    </row>
    <row r="429">
      <c r="A429" s="10"/>
      <c r="E429" s="10"/>
      <c r="F429" s="7"/>
      <c r="H429" s="6"/>
      <c r="I429" s="7"/>
      <c r="K429" s="11"/>
    </row>
    <row r="430">
      <c r="A430" s="10"/>
      <c r="E430" s="10"/>
      <c r="F430" s="7"/>
      <c r="H430" s="6"/>
      <c r="I430" s="7"/>
      <c r="K430" s="11"/>
    </row>
    <row r="431">
      <c r="A431" s="10"/>
      <c r="E431" s="10"/>
      <c r="F431" s="7"/>
      <c r="H431" s="6"/>
      <c r="I431" s="7"/>
      <c r="K431" s="11"/>
    </row>
    <row r="432">
      <c r="A432" s="10"/>
      <c r="E432" s="10"/>
      <c r="F432" s="7"/>
      <c r="H432" s="6"/>
      <c r="I432" s="7"/>
      <c r="K432" s="11"/>
    </row>
    <row r="433">
      <c r="A433" s="10"/>
      <c r="E433" s="10"/>
      <c r="F433" s="7"/>
      <c r="H433" s="6"/>
      <c r="I433" s="7"/>
      <c r="K433" s="11"/>
    </row>
    <row r="434">
      <c r="A434" s="10"/>
      <c r="E434" s="10"/>
      <c r="F434" s="7"/>
      <c r="H434" s="6"/>
      <c r="I434" s="7"/>
      <c r="K434" s="11"/>
    </row>
    <row r="435">
      <c r="A435" s="10"/>
      <c r="E435" s="10"/>
      <c r="F435" s="7"/>
      <c r="H435" s="6"/>
      <c r="I435" s="7"/>
      <c r="K435" s="11"/>
    </row>
    <row r="436">
      <c r="A436" s="10"/>
      <c r="E436" s="10"/>
      <c r="F436" s="7"/>
      <c r="H436" s="6"/>
      <c r="I436" s="7"/>
      <c r="K436" s="11"/>
    </row>
    <row r="437">
      <c r="A437" s="10"/>
      <c r="E437" s="10"/>
      <c r="F437" s="7"/>
      <c r="H437" s="6"/>
      <c r="I437" s="7"/>
      <c r="K437" s="11"/>
    </row>
    <row r="438">
      <c r="A438" s="10"/>
      <c r="E438" s="10"/>
      <c r="F438" s="7"/>
      <c r="H438" s="6"/>
      <c r="I438" s="7"/>
      <c r="K438" s="11"/>
    </row>
    <row r="439">
      <c r="A439" s="10"/>
      <c r="E439" s="10"/>
      <c r="F439" s="7"/>
      <c r="H439" s="6"/>
      <c r="I439" s="7"/>
      <c r="K439" s="11"/>
    </row>
    <row r="440">
      <c r="A440" s="10"/>
      <c r="E440" s="10"/>
      <c r="F440" s="7"/>
      <c r="H440" s="6"/>
      <c r="I440" s="7"/>
      <c r="K440" s="11"/>
    </row>
    <row r="441">
      <c r="A441" s="10"/>
      <c r="E441" s="10"/>
      <c r="F441" s="7"/>
      <c r="H441" s="6"/>
      <c r="I441" s="7"/>
      <c r="K441" s="11"/>
    </row>
    <row r="442">
      <c r="A442" s="10"/>
      <c r="E442" s="10"/>
      <c r="F442" s="7"/>
      <c r="H442" s="6"/>
      <c r="I442" s="7"/>
      <c r="K442" s="11"/>
    </row>
    <row r="443">
      <c r="A443" s="10"/>
      <c r="E443" s="10"/>
      <c r="F443" s="7"/>
      <c r="H443" s="6"/>
      <c r="I443" s="7"/>
      <c r="K443" s="11"/>
    </row>
    <row r="444">
      <c r="A444" s="10"/>
      <c r="E444" s="10"/>
      <c r="F444" s="7"/>
      <c r="H444" s="6"/>
      <c r="I444" s="7"/>
      <c r="K444" s="11"/>
    </row>
    <row r="445">
      <c r="A445" s="10"/>
      <c r="E445" s="10"/>
      <c r="F445" s="7"/>
      <c r="H445" s="6"/>
      <c r="I445" s="7"/>
      <c r="K445" s="11"/>
    </row>
    <row r="446">
      <c r="A446" s="10"/>
      <c r="E446" s="10"/>
      <c r="F446" s="7"/>
      <c r="H446" s="6"/>
      <c r="I446" s="7"/>
      <c r="K446" s="11"/>
    </row>
    <row r="447">
      <c r="A447" s="10"/>
      <c r="E447" s="10"/>
      <c r="F447" s="7"/>
      <c r="H447" s="6"/>
      <c r="I447" s="7"/>
      <c r="K447" s="11"/>
    </row>
    <row r="448">
      <c r="A448" s="10"/>
      <c r="E448" s="10"/>
      <c r="F448" s="7"/>
      <c r="H448" s="6"/>
      <c r="I448" s="7"/>
      <c r="K448" s="11"/>
    </row>
    <row r="449">
      <c r="A449" s="10"/>
      <c r="E449" s="10"/>
      <c r="F449" s="7"/>
      <c r="H449" s="6"/>
      <c r="I449" s="7"/>
      <c r="K449" s="11"/>
    </row>
    <row r="450">
      <c r="A450" s="10"/>
      <c r="E450" s="10"/>
      <c r="F450" s="7"/>
      <c r="H450" s="6"/>
      <c r="I450" s="7"/>
      <c r="K450" s="11"/>
    </row>
    <row r="451">
      <c r="A451" s="10"/>
      <c r="E451" s="10"/>
      <c r="F451" s="7"/>
      <c r="H451" s="6"/>
      <c r="I451" s="7"/>
      <c r="K451" s="11"/>
    </row>
    <row r="452">
      <c r="A452" s="10"/>
      <c r="E452" s="10"/>
      <c r="F452" s="7"/>
      <c r="H452" s="6"/>
      <c r="I452" s="7"/>
      <c r="K452" s="11"/>
    </row>
    <row r="453">
      <c r="A453" s="10"/>
      <c r="E453" s="10"/>
      <c r="F453" s="7"/>
      <c r="H453" s="6"/>
      <c r="I453" s="7"/>
      <c r="K453" s="11"/>
    </row>
    <row r="454">
      <c r="A454" s="10"/>
      <c r="E454" s="10"/>
      <c r="F454" s="7"/>
      <c r="H454" s="6"/>
      <c r="I454" s="7"/>
      <c r="K454" s="11"/>
    </row>
    <row r="455">
      <c r="A455" s="10"/>
      <c r="E455" s="10"/>
      <c r="F455" s="7"/>
      <c r="H455" s="6"/>
      <c r="I455" s="7"/>
      <c r="K455" s="11"/>
    </row>
    <row r="456">
      <c r="A456" s="10"/>
      <c r="E456" s="10"/>
      <c r="F456" s="7"/>
      <c r="H456" s="6"/>
      <c r="I456" s="7"/>
      <c r="K456" s="11"/>
    </row>
    <row r="457">
      <c r="A457" s="10"/>
      <c r="E457" s="10"/>
      <c r="F457" s="7"/>
      <c r="H457" s="6"/>
      <c r="I457" s="7"/>
      <c r="K457" s="11"/>
    </row>
    <row r="458">
      <c r="A458" s="10"/>
      <c r="E458" s="10"/>
      <c r="F458" s="7"/>
      <c r="H458" s="6"/>
      <c r="I458" s="7"/>
      <c r="K458" s="11"/>
    </row>
    <row r="459">
      <c r="A459" s="10"/>
      <c r="E459" s="10"/>
      <c r="F459" s="7"/>
      <c r="H459" s="6"/>
      <c r="I459" s="7"/>
      <c r="K459" s="11"/>
    </row>
    <row r="460">
      <c r="A460" s="10"/>
      <c r="E460" s="10"/>
      <c r="F460" s="7"/>
      <c r="H460" s="6"/>
      <c r="I460" s="7"/>
      <c r="K460" s="11"/>
    </row>
    <row r="461">
      <c r="A461" s="10"/>
      <c r="E461" s="10"/>
      <c r="F461" s="7"/>
      <c r="H461" s="6"/>
      <c r="I461" s="7"/>
      <c r="K461" s="11"/>
    </row>
    <row r="462">
      <c r="A462" s="10"/>
      <c r="E462" s="10"/>
      <c r="F462" s="7"/>
      <c r="H462" s="6"/>
      <c r="I462" s="7"/>
      <c r="K462" s="11"/>
    </row>
    <row r="463">
      <c r="A463" s="10"/>
      <c r="E463" s="10"/>
      <c r="F463" s="7"/>
      <c r="H463" s="6"/>
      <c r="I463" s="7"/>
      <c r="K463" s="11"/>
    </row>
    <row r="464">
      <c r="A464" s="10"/>
      <c r="E464" s="10"/>
      <c r="F464" s="7"/>
      <c r="H464" s="6"/>
      <c r="I464" s="7"/>
      <c r="K464" s="11"/>
    </row>
    <row r="465">
      <c r="A465" s="10"/>
      <c r="E465" s="10"/>
      <c r="F465" s="7"/>
      <c r="H465" s="6"/>
      <c r="I465" s="7"/>
      <c r="K465" s="11"/>
    </row>
    <row r="466">
      <c r="A466" s="10"/>
      <c r="E466" s="10"/>
      <c r="F466" s="7"/>
      <c r="H466" s="6"/>
      <c r="I466" s="7"/>
      <c r="K466" s="11"/>
    </row>
    <row r="467">
      <c r="A467" s="10"/>
      <c r="E467" s="10"/>
      <c r="F467" s="7"/>
      <c r="H467" s="6"/>
      <c r="I467" s="7"/>
      <c r="K467" s="11"/>
    </row>
    <row r="468">
      <c r="A468" s="10"/>
      <c r="E468" s="10"/>
      <c r="F468" s="7"/>
      <c r="H468" s="6"/>
      <c r="I468" s="7"/>
      <c r="K468" s="11"/>
    </row>
    <row r="469">
      <c r="A469" s="10"/>
      <c r="E469" s="10"/>
      <c r="F469" s="7"/>
      <c r="H469" s="6"/>
      <c r="I469" s="7"/>
      <c r="K469" s="11"/>
    </row>
    <row r="470">
      <c r="A470" s="10"/>
      <c r="E470" s="10"/>
      <c r="F470" s="7"/>
      <c r="H470" s="6"/>
      <c r="I470" s="7"/>
      <c r="K470" s="11"/>
    </row>
    <row r="471">
      <c r="A471" s="10"/>
      <c r="E471" s="10"/>
      <c r="F471" s="7"/>
      <c r="H471" s="6"/>
      <c r="I471" s="7"/>
      <c r="K471" s="11"/>
    </row>
    <row r="472">
      <c r="A472" s="10"/>
      <c r="E472" s="10"/>
      <c r="F472" s="7"/>
      <c r="H472" s="6"/>
      <c r="I472" s="7"/>
      <c r="K472" s="11"/>
    </row>
    <row r="473">
      <c r="A473" s="10"/>
      <c r="E473" s="10"/>
      <c r="F473" s="7"/>
      <c r="H473" s="6"/>
      <c r="I473" s="7"/>
      <c r="K473" s="11"/>
    </row>
    <row r="474">
      <c r="A474" s="10"/>
      <c r="E474" s="10"/>
      <c r="F474" s="7"/>
      <c r="H474" s="6"/>
      <c r="I474" s="7"/>
      <c r="K474" s="11"/>
    </row>
    <row r="475">
      <c r="A475" s="10"/>
      <c r="E475" s="10"/>
      <c r="F475" s="7"/>
      <c r="H475" s="6"/>
      <c r="I475" s="7"/>
      <c r="K475" s="11"/>
    </row>
    <row r="476">
      <c r="A476" s="10"/>
      <c r="E476" s="10"/>
      <c r="F476" s="7"/>
      <c r="H476" s="6"/>
      <c r="I476" s="7"/>
      <c r="K476" s="11"/>
    </row>
    <row r="477">
      <c r="A477" s="10"/>
      <c r="E477" s="10"/>
      <c r="F477" s="7"/>
      <c r="H477" s="6"/>
      <c r="I477" s="7"/>
      <c r="K477" s="11"/>
    </row>
    <row r="478">
      <c r="A478" s="10"/>
      <c r="E478" s="10"/>
      <c r="F478" s="7"/>
      <c r="H478" s="6"/>
      <c r="I478" s="7"/>
      <c r="K478" s="11"/>
    </row>
    <row r="479">
      <c r="A479" s="10"/>
      <c r="E479" s="10"/>
      <c r="F479" s="7"/>
      <c r="H479" s="6"/>
      <c r="I479" s="7"/>
      <c r="K479" s="11"/>
    </row>
    <row r="480">
      <c r="A480" s="10"/>
      <c r="E480" s="10"/>
      <c r="F480" s="7"/>
      <c r="H480" s="6"/>
      <c r="I480" s="7"/>
      <c r="K480" s="11"/>
    </row>
    <row r="481">
      <c r="A481" s="10"/>
      <c r="E481" s="10"/>
      <c r="F481" s="7"/>
      <c r="H481" s="6"/>
      <c r="I481" s="7"/>
      <c r="K481" s="11"/>
    </row>
    <row r="482">
      <c r="A482" s="10"/>
      <c r="E482" s="10"/>
      <c r="F482" s="7"/>
      <c r="H482" s="6"/>
      <c r="I482" s="7"/>
      <c r="K482" s="11"/>
    </row>
    <row r="483">
      <c r="A483" s="10"/>
      <c r="E483" s="10"/>
      <c r="F483" s="7"/>
      <c r="H483" s="6"/>
      <c r="I483" s="7"/>
      <c r="K483" s="11"/>
    </row>
    <row r="484">
      <c r="A484" s="10"/>
      <c r="E484" s="10"/>
      <c r="F484" s="7"/>
      <c r="H484" s="6"/>
      <c r="I484" s="7"/>
      <c r="K484" s="11"/>
    </row>
    <row r="485">
      <c r="A485" s="10"/>
      <c r="E485" s="10"/>
      <c r="F485" s="7"/>
      <c r="H485" s="6"/>
      <c r="I485" s="7"/>
      <c r="K485" s="11"/>
    </row>
    <row r="486">
      <c r="A486" s="10"/>
      <c r="E486" s="10"/>
      <c r="F486" s="7"/>
      <c r="H486" s="6"/>
      <c r="I486" s="7"/>
      <c r="K486" s="11"/>
    </row>
    <row r="487">
      <c r="A487" s="10"/>
      <c r="E487" s="10"/>
      <c r="F487" s="7"/>
      <c r="H487" s="6"/>
      <c r="I487" s="7"/>
      <c r="K487" s="11"/>
    </row>
    <row r="488">
      <c r="A488" s="10"/>
      <c r="E488" s="10"/>
      <c r="F488" s="7"/>
      <c r="H488" s="6"/>
      <c r="I488" s="7"/>
      <c r="K488" s="11"/>
    </row>
    <row r="489">
      <c r="A489" s="10"/>
      <c r="E489" s="10"/>
      <c r="F489" s="7"/>
      <c r="H489" s="6"/>
      <c r="I489" s="7"/>
      <c r="K489" s="11"/>
    </row>
    <row r="490">
      <c r="A490" s="10"/>
      <c r="E490" s="10"/>
      <c r="F490" s="7"/>
      <c r="H490" s="6"/>
      <c r="I490" s="7"/>
      <c r="K490" s="11"/>
    </row>
    <row r="491">
      <c r="A491" s="10"/>
      <c r="E491" s="10"/>
      <c r="F491" s="7"/>
      <c r="H491" s="6"/>
      <c r="I491" s="7"/>
      <c r="K491" s="11"/>
    </row>
    <row r="492">
      <c r="A492" s="10"/>
      <c r="E492" s="10"/>
      <c r="F492" s="7"/>
      <c r="H492" s="6"/>
      <c r="I492" s="7"/>
      <c r="K492" s="11"/>
    </row>
    <row r="493">
      <c r="A493" s="10"/>
      <c r="E493" s="10"/>
      <c r="F493" s="7"/>
      <c r="H493" s="6"/>
      <c r="I493" s="7"/>
      <c r="K493" s="11"/>
    </row>
    <row r="494">
      <c r="A494" s="10"/>
      <c r="E494" s="10"/>
      <c r="F494" s="7"/>
      <c r="H494" s="6"/>
      <c r="I494" s="7"/>
      <c r="K494" s="11"/>
    </row>
    <row r="495">
      <c r="A495" s="10"/>
      <c r="E495" s="10"/>
      <c r="F495" s="7"/>
      <c r="H495" s="6"/>
      <c r="I495" s="7"/>
      <c r="K495" s="11"/>
    </row>
    <row r="496">
      <c r="A496" s="10"/>
      <c r="E496" s="10"/>
      <c r="F496" s="7"/>
      <c r="H496" s="6"/>
      <c r="I496" s="7"/>
      <c r="K496" s="11"/>
    </row>
    <row r="497">
      <c r="A497" s="10"/>
      <c r="E497" s="10"/>
      <c r="F497" s="7"/>
      <c r="H497" s="6"/>
      <c r="I497" s="7"/>
      <c r="K497" s="11"/>
    </row>
    <row r="498">
      <c r="A498" s="10"/>
      <c r="E498" s="10"/>
      <c r="F498" s="7"/>
      <c r="H498" s="6"/>
      <c r="I498" s="7"/>
      <c r="K498" s="11"/>
    </row>
    <row r="499">
      <c r="A499" s="10"/>
      <c r="E499" s="10"/>
      <c r="F499" s="7"/>
      <c r="H499" s="6"/>
      <c r="I499" s="7"/>
      <c r="K499" s="11"/>
    </row>
    <row r="500">
      <c r="A500" s="10"/>
      <c r="E500" s="10"/>
      <c r="F500" s="7"/>
      <c r="H500" s="6"/>
      <c r="I500" s="7"/>
      <c r="K500" s="11"/>
    </row>
    <row r="501">
      <c r="A501" s="10"/>
      <c r="E501" s="10"/>
      <c r="F501" s="7"/>
      <c r="H501" s="6"/>
      <c r="I501" s="7"/>
      <c r="K501" s="11"/>
    </row>
    <row r="502">
      <c r="A502" s="10"/>
      <c r="E502" s="10"/>
      <c r="F502" s="7"/>
      <c r="H502" s="6"/>
      <c r="I502" s="7"/>
      <c r="K502" s="11"/>
    </row>
    <row r="503">
      <c r="A503" s="10"/>
      <c r="E503" s="10"/>
      <c r="F503" s="7"/>
      <c r="H503" s="6"/>
      <c r="I503" s="7"/>
      <c r="K503" s="11"/>
    </row>
    <row r="504">
      <c r="A504" s="10"/>
      <c r="E504" s="10"/>
      <c r="F504" s="7"/>
      <c r="H504" s="6"/>
      <c r="I504" s="7"/>
      <c r="K504" s="11"/>
    </row>
    <row r="505">
      <c r="A505" s="10"/>
      <c r="E505" s="10"/>
      <c r="F505" s="7"/>
      <c r="H505" s="6"/>
      <c r="I505" s="7"/>
      <c r="K505" s="11"/>
    </row>
    <row r="506">
      <c r="A506" s="10"/>
      <c r="E506" s="10"/>
      <c r="F506" s="7"/>
      <c r="H506" s="6"/>
      <c r="I506" s="7"/>
      <c r="K506" s="11"/>
    </row>
    <row r="507">
      <c r="A507" s="10"/>
      <c r="E507" s="10"/>
      <c r="F507" s="7"/>
      <c r="H507" s="6"/>
      <c r="I507" s="7"/>
      <c r="K507" s="11"/>
    </row>
    <row r="508">
      <c r="A508" s="10"/>
      <c r="E508" s="10"/>
      <c r="F508" s="7"/>
      <c r="H508" s="6"/>
      <c r="I508" s="7"/>
      <c r="K508" s="11"/>
    </row>
    <row r="509">
      <c r="A509" s="10"/>
      <c r="E509" s="10"/>
      <c r="F509" s="7"/>
      <c r="H509" s="6"/>
      <c r="I509" s="7"/>
      <c r="K509" s="11"/>
    </row>
    <row r="510">
      <c r="A510" s="10"/>
      <c r="E510" s="10"/>
      <c r="F510" s="7"/>
      <c r="H510" s="6"/>
      <c r="I510" s="7"/>
      <c r="K510" s="11"/>
    </row>
    <row r="511">
      <c r="A511" s="10"/>
      <c r="E511" s="10"/>
      <c r="F511" s="7"/>
      <c r="H511" s="6"/>
      <c r="I511" s="7"/>
      <c r="K511" s="11"/>
    </row>
    <row r="512">
      <c r="A512" s="10"/>
      <c r="E512" s="10"/>
      <c r="F512" s="7"/>
      <c r="H512" s="6"/>
      <c r="I512" s="7"/>
      <c r="K512" s="11"/>
    </row>
    <row r="513">
      <c r="A513" s="10"/>
      <c r="E513" s="10"/>
      <c r="F513" s="7"/>
      <c r="H513" s="6"/>
      <c r="I513" s="7"/>
      <c r="K513" s="11"/>
    </row>
    <row r="514">
      <c r="A514" s="10"/>
      <c r="E514" s="10"/>
      <c r="F514" s="7"/>
      <c r="H514" s="6"/>
      <c r="I514" s="7"/>
      <c r="K514" s="11"/>
    </row>
    <row r="515">
      <c r="A515" s="10"/>
      <c r="E515" s="10"/>
      <c r="F515" s="7"/>
      <c r="H515" s="6"/>
      <c r="I515" s="7"/>
      <c r="K515" s="11"/>
    </row>
    <row r="516">
      <c r="A516" s="10"/>
      <c r="E516" s="10"/>
      <c r="F516" s="7"/>
      <c r="H516" s="6"/>
      <c r="I516" s="7"/>
      <c r="K516" s="11"/>
    </row>
    <row r="517">
      <c r="A517" s="10"/>
      <c r="E517" s="10"/>
      <c r="F517" s="7"/>
      <c r="H517" s="6"/>
      <c r="I517" s="7"/>
      <c r="K517" s="11"/>
    </row>
    <row r="518">
      <c r="A518" s="10"/>
      <c r="E518" s="10"/>
      <c r="F518" s="7"/>
      <c r="H518" s="6"/>
      <c r="I518" s="7"/>
      <c r="K518" s="11"/>
    </row>
    <row r="519">
      <c r="A519" s="10"/>
      <c r="E519" s="10"/>
      <c r="F519" s="7"/>
      <c r="H519" s="6"/>
      <c r="I519" s="7"/>
      <c r="K519" s="11"/>
    </row>
    <row r="520">
      <c r="A520" s="10"/>
      <c r="E520" s="10"/>
      <c r="F520" s="7"/>
      <c r="H520" s="6"/>
      <c r="I520" s="7"/>
      <c r="K520" s="11"/>
    </row>
    <row r="521">
      <c r="A521" s="10"/>
      <c r="E521" s="10"/>
      <c r="F521" s="7"/>
      <c r="H521" s="6"/>
      <c r="I521" s="7"/>
      <c r="K521" s="11"/>
    </row>
    <row r="522">
      <c r="A522" s="10"/>
      <c r="E522" s="10"/>
      <c r="F522" s="7"/>
      <c r="H522" s="6"/>
      <c r="I522" s="7"/>
      <c r="K522" s="11"/>
    </row>
    <row r="523">
      <c r="A523" s="10"/>
      <c r="E523" s="10"/>
      <c r="F523" s="7"/>
      <c r="H523" s="6"/>
      <c r="I523" s="7"/>
      <c r="K523" s="11"/>
    </row>
    <row r="524">
      <c r="A524" s="10"/>
      <c r="E524" s="10"/>
      <c r="F524" s="7"/>
      <c r="H524" s="6"/>
      <c r="I524" s="7"/>
      <c r="K524" s="11"/>
    </row>
    <row r="525">
      <c r="A525" s="10"/>
      <c r="E525" s="10"/>
      <c r="F525" s="7"/>
      <c r="H525" s="6"/>
      <c r="I525" s="7"/>
      <c r="K525" s="11"/>
    </row>
    <row r="526">
      <c r="A526" s="10"/>
      <c r="E526" s="10"/>
      <c r="F526" s="7"/>
      <c r="H526" s="6"/>
      <c r="I526" s="7"/>
      <c r="K526" s="11"/>
    </row>
    <row r="527">
      <c r="A527" s="10"/>
      <c r="E527" s="10"/>
      <c r="F527" s="7"/>
      <c r="H527" s="6"/>
      <c r="I527" s="7"/>
      <c r="K527" s="11"/>
    </row>
    <row r="528">
      <c r="A528" s="10"/>
      <c r="E528" s="10"/>
      <c r="F528" s="7"/>
      <c r="H528" s="6"/>
      <c r="I528" s="7"/>
      <c r="K528" s="11"/>
    </row>
    <row r="529">
      <c r="A529" s="10"/>
      <c r="E529" s="10"/>
      <c r="F529" s="7"/>
      <c r="H529" s="6"/>
      <c r="I529" s="7"/>
      <c r="K529" s="11"/>
    </row>
    <row r="530">
      <c r="A530" s="10"/>
      <c r="E530" s="10"/>
      <c r="F530" s="7"/>
      <c r="H530" s="6"/>
      <c r="I530" s="7"/>
      <c r="K530" s="11"/>
    </row>
    <row r="531">
      <c r="A531" s="10"/>
      <c r="E531" s="10"/>
      <c r="F531" s="7"/>
      <c r="H531" s="6"/>
      <c r="I531" s="7"/>
      <c r="K531" s="11"/>
    </row>
    <row r="532">
      <c r="A532" s="10"/>
      <c r="E532" s="10"/>
      <c r="F532" s="7"/>
      <c r="H532" s="6"/>
      <c r="I532" s="7"/>
      <c r="K532" s="11"/>
    </row>
    <row r="533">
      <c r="A533" s="10"/>
      <c r="E533" s="10"/>
      <c r="F533" s="7"/>
      <c r="H533" s="6"/>
      <c r="I533" s="7"/>
      <c r="K533" s="11"/>
    </row>
    <row r="534">
      <c r="A534" s="10"/>
      <c r="E534" s="10"/>
      <c r="F534" s="7"/>
      <c r="H534" s="6"/>
      <c r="I534" s="7"/>
      <c r="K534" s="11"/>
    </row>
    <row r="535">
      <c r="A535" s="10"/>
      <c r="E535" s="10"/>
      <c r="F535" s="7"/>
      <c r="H535" s="6"/>
      <c r="I535" s="7"/>
      <c r="K535" s="11"/>
    </row>
    <row r="536">
      <c r="A536" s="10"/>
      <c r="E536" s="10"/>
      <c r="F536" s="7"/>
      <c r="H536" s="6"/>
      <c r="I536" s="7"/>
      <c r="K536" s="11"/>
    </row>
    <row r="537">
      <c r="A537" s="10"/>
      <c r="E537" s="10"/>
      <c r="F537" s="7"/>
      <c r="H537" s="6"/>
      <c r="I537" s="7"/>
      <c r="K537" s="11"/>
    </row>
    <row r="538">
      <c r="A538" s="10"/>
      <c r="E538" s="10"/>
      <c r="F538" s="7"/>
      <c r="H538" s="6"/>
      <c r="I538" s="7"/>
      <c r="K538" s="11"/>
    </row>
    <row r="539">
      <c r="A539" s="10"/>
      <c r="E539" s="10"/>
      <c r="F539" s="7"/>
      <c r="H539" s="6"/>
      <c r="I539" s="7"/>
      <c r="K539" s="11"/>
    </row>
    <row r="540">
      <c r="A540" s="10"/>
      <c r="E540" s="10"/>
      <c r="F540" s="7"/>
      <c r="H540" s="6"/>
      <c r="I540" s="7"/>
      <c r="K540" s="11"/>
    </row>
    <row r="541">
      <c r="A541" s="10"/>
      <c r="E541" s="10"/>
      <c r="F541" s="7"/>
      <c r="H541" s="6"/>
      <c r="I541" s="7"/>
      <c r="K541" s="11"/>
    </row>
    <row r="542">
      <c r="A542" s="10"/>
      <c r="E542" s="10"/>
      <c r="F542" s="7"/>
      <c r="H542" s="6"/>
      <c r="I542" s="7"/>
      <c r="K542" s="11"/>
    </row>
    <row r="543">
      <c r="A543" s="10"/>
      <c r="E543" s="10"/>
      <c r="F543" s="7"/>
      <c r="H543" s="6"/>
      <c r="I543" s="7"/>
      <c r="K543" s="11"/>
    </row>
    <row r="544">
      <c r="A544" s="10"/>
      <c r="E544" s="10"/>
      <c r="F544" s="7"/>
      <c r="H544" s="6"/>
      <c r="I544" s="7"/>
      <c r="K544" s="11"/>
    </row>
    <row r="545">
      <c r="A545" s="10"/>
      <c r="E545" s="10"/>
      <c r="F545" s="7"/>
      <c r="H545" s="6"/>
      <c r="I545" s="7"/>
      <c r="K545" s="11"/>
    </row>
    <row r="546">
      <c r="A546" s="10"/>
      <c r="E546" s="10"/>
      <c r="F546" s="7"/>
      <c r="H546" s="6"/>
      <c r="I546" s="7"/>
      <c r="K546" s="11"/>
    </row>
    <row r="547">
      <c r="A547" s="10"/>
      <c r="E547" s="10"/>
      <c r="F547" s="7"/>
      <c r="H547" s="6"/>
      <c r="I547" s="7"/>
      <c r="K547" s="11"/>
    </row>
    <row r="548">
      <c r="A548" s="10"/>
      <c r="E548" s="10"/>
      <c r="F548" s="7"/>
      <c r="H548" s="6"/>
      <c r="I548" s="7"/>
      <c r="K548" s="11"/>
    </row>
    <row r="549">
      <c r="A549" s="10"/>
      <c r="E549" s="10"/>
      <c r="F549" s="7"/>
      <c r="H549" s="6"/>
      <c r="I549" s="7"/>
      <c r="K549" s="11"/>
    </row>
    <row r="550">
      <c r="A550" s="10"/>
      <c r="E550" s="10"/>
      <c r="F550" s="7"/>
      <c r="H550" s="6"/>
      <c r="I550" s="7"/>
      <c r="K550" s="11"/>
    </row>
    <row r="551">
      <c r="A551" s="10"/>
      <c r="E551" s="10"/>
      <c r="F551" s="7"/>
      <c r="H551" s="6"/>
      <c r="I551" s="7"/>
      <c r="K551" s="11"/>
    </row>
    <row r="552">
      <c r="A552" s="10"/>
      <c r="E552" s="10"/>
      <c r="F552" s="7"/>
      <c r="H552" s="6"/>
      <c r="I552" s="7"/>
      <c r="K552" s="11"/>
    </row>
    <row r="553">
      <c r="A553" s="10"/>
      <c r="E553" s="10"/>
      <c r="F553" s="7"/>
      <c r="H553" s="6"/>
      <c r="I553" s="7"/>
      <c r="K553" s="11"/>
    </row>
    <row r="554">
      <c r="A554" s="10"/>
      <c r="E554" s="10"/>
      <c r="F554" s="7"/>
      <c r="H554" s="6"/>
      <c r="I554" s="7"/>
      <c r="K554" s="11"/>
    </row>
    <row r="555">
      <c r="A555" s="10"/>
      <c r="E555" s="10"/>
      <c r="F555" s="7"/>
      <c r="H555" s="6"/>
      <c r="I555" s="7"/>
      <c r="K555" s="11"/>
    </row>
    <row r="556">
      <c r="A556" s="10"/>
      <c r="E556" s="10"/>
      <c r="F556" s="7"/>
      <c r="H556" s="6"/>
      <c r="I556" s="7"/>
      <c r="K556" s="11"/>
    </row>
    <row r="557">
      <c r="A557" s="10"/>
      <c r="E557" s="10"/>
      <c r="F557" s="7"/>
      <c r="H557" s="6"/>
      <c r="I557" s="7"/>
      <c r="K557" s="11"/>
    </row>
    <row r="558">
      <c r="A558" s="10"/>
      <c r="E558" s="10"/>
      <c r="F558" s="7"/>
      <c r="H558" s="6"/>
      <c r="I558" s="7"/>
      <c r="K558" s="11"/>
    </row>
    <row r="559">
      <c r="A559" s="10"/>
      <c r="E559" s="10"/>
      <c r="F559" s="7"/>
      <c r="H559" s="6"/>
      <c r="I559" s="7"/>
      <c r="K559" s="11"/>
    </row>
    <row r="560">
      <c r="A560" s="10"/>
      <c r="E560" s="10"/>
      <c r="F560" s="7"/>
      <c r="H560" s="6"/>
      <c r="I560" s="7"/>
      <c r="K560" s="11"/>
    </row>
    <row r="561">
      <c r="A561" s="10"/>
      <c r="E561" s="10"/>
      <c r="F561" s="7"/>
      <c r="H561" s="6"/>
      <c r="I561" s="7"/>
      <c r="K561" s="11"/>
    </row>
    <row r="562">
      <c r="A562" s="10"/>
      <c r="E562" s="10"/>
      <c r="F562" s="7"/>
      <c r="H562" s="6"/>
      <c r="I562" s="7"/>
      <c r="K562" s="11"/>
    </row>
    <row r="563">
      <c r="A563" s="10"/>
      <c r="E563" s="10"/>
      <c r="F563" s="7"/>
      <c r="H563" s="6"/>
      <c r="I563" s="7"/>
      <c r="K563" s="11"/>
    </row>
    <row r="564">
      <c r="A564" s="10"/>
      <c r="E564" s="10"/>
      <c r="F564" s="7"/>
      <c r="H564" s="6"/>
      <c r="I564" s="7"/>
      <c r="K564" s="11"/>
    </row>
    <row r="565">
      <c r="A565" s="10"/>
      <c r="E565" s="10"/>
      <c r="F565" s="7"/>
      <c r="H565" s="6"/>
      <c r="I565" s="7"/>
      <c r="K565" s="11"/>
    </row>
    <row r="566">
      <c r="A566" s="10"/>
      <c r="E566" s="10"/>
      <c r="F566" s="7"/>
      <c r="H566" s="6"/>
      <c r="I566" s="7"/>
      <c r="K566" s="11"/>
    </row>
    <row r="567">
      <c r="A567" s="10"/>
      <c r="E567" s="10"/>
      <c r="F567" s="7"/>
      <c r="H567" s="6"/>
      <c r="I567" s="7"/>
      <c r="K567" s="11"/>
    </row>
    <row r="568">
      <c r="A568" s="10"/>
      <c r="E568" s="10"/>
      <c r="F568" s="7"/>
      <c r="H568" s="6"/>
      <c r="I568" s="7"/>
      <c r="K568" s="11"/>
    </row>
    <row r="569">
      <c r="A569" s="10"/>
      <c r="E569" s="10"/>
      <c r="F569" s="7"/>
      <c r="H569" s="6"/>
      <c r="I569" s="7"/>
      <c r="K569" s="11"/>
    </row>
    <row r="570">
      <c r="A570" s="10"/>
      <c r="E570" s="10"/>
      <c r="F570" s="7"/>
      <c r="H570" s="6"/>
      <c r="I570" s="7"/>
      <c r="K570" s="11"/>
    </row>
    <row r="571">
      <c r="A571" s="10"/>
      <c r="E571" s="10"/>
      <c r="F571" s="7"/>
      <c r="H571" s="6"/>
      <c r="I571" s="7"/>
      <c r="K571" s="11"/>
    </row>
    <row r="572">
      <c r="A572" s="10"/>
      <c r="E572" s="10"/>
      <c r="F572" s="7"/>
      <c r="H572" s="6"/>
      <c r="I572" s="7"/>
      <c r="K572" s="11"/>
    </row>
    <row r="573">
      <c r="A573" s="10"/>
      <c r="E573" s="10"/>
      <c r="F573" s="7"/>
      <c r="H573" s="6"/>
      <c r="I573" s="7"/>
      <c r="K573" s="11"/>
    </row>
    <row r="574">
      <c r="A574" s="10"/>
      <c r="E574" s="10"/>
      <c r="F574" s="7"/>
      <c r="H574" s="6"/>
      <c r="I574" s="7"/>
      <c r="K574" s="11"/>
    </row>
    <row r="575">
      <c r="A575" s="10"/>
      <c r="E575" s="10"/>
      <c r="F575" s="7"/>
      <c r="H575" s="6"/>
      <c r="I575" s="7"/>
      <c r="K575" s="11"/>
    </row>
    <row r="576">
      <c r="A576" s="10"/>
      <c r="E576" s="10"/>
      <c r="F576" s="7"/>
      <c r="H576" s="6"/>
      <c r="I576" s="7"/>
      <c r="K576" s="11"/>
    </row>
    <row r="577">
      <c r="A577" s="10"/>
      <c r="E577" s="10"/>
      <c r="F577" s="7"/>
      <c r="H577" s="6"/>
      <c r="I577" s="7"/>
      <c r="K577" s="11"/>
    </row>
    <row r="578">
      <c r="A578" s="10"/>
      <c r="E578" s="10"/>
      <c r="F578" s="7"/>
      <c r="H578" s="6"/>
      <c r="I578" s="7"/>
      <c r="K578" s="11"/>
    </row>
    <row r="579">
      <c r="A579" s="10"/>
      <c r="E579" s="10"/>
      <c r="F579" s="7"/>
      <c r="H579" s="6"/>
      <c r="I579" s="7"/>
      <c r="K579" s="11"/>
    </row>
    <row r="580">
      <c r="A580" s="10"/>
      <c r="E580" s="10"/>
      <c r="F580" s="7"/>
      <c r="H580" s="6"/>
      <c r="I580" s="7"/>
      <c r="K580" s="11"/>
    </row>
    <row r="581">
      <c r="A581" s="10"/>
      <c r="E581" s="10"/>
      <c r="F581" s="7"/>
      <c r="H581" s="6"/>
      <c r="I581" s="7"/>
      <c r="K581" s="11"/>
    </row>
    <row r="582">
      <c r="A582" s="10"/>
      <c r="E582" s="10"/>
      <c r="F582" s="7"/>
      <c r="H582" s="6"/>
      <c r="I582" s="7"/>
      <c r="K582" s="11"/>
    </row>
    <row r="583">
      <c r="A583" s="10"/>
      <c r="E583" s="10"/>
      <c r="F583" s="7"/>
      <c r="H583" s="6"/>
      <c r="I583" s="7"/>
      <c r="K583" s="11"/>
    </row>
    <row r="584">
      <c r="A584" s="10"/>
      <c r="E584" s="10"/>
      <c r="F584" s="7"/>
      <c r="H584" s="6"/>
      <c r="I584" s="7"/>
      <c r="K584" s="11"/>
    </row>
    <row r="585">
      <c r="A585" s="10"/>
      <c r="E585" s="10"/>
      <c r="F585" s="7"/>
      <c r="H585" s="6"/>
      <c r="I585" s="7"/>
      <c r="K585" s="11"/>
    </row>
    <row r="586">
      <c r="A586" s="10"/>
      <c r="E586" s="10"/>
      <c r="F586" s="7"/>
      <c r="H586" s="6"/>
      <c r="I586" s="7"/>
      <c r="K586" s="11"/>
    </row>
    <row r="587">
      <c r="A587" s="10"/>
      <c r="E587" s="10"/>
      <c r="F587" s="7"/>
      <c r="H587" s="6"/>
      <c r="I587" s="7"/>
      <c r="K587" s="11"/>
    </row>
    <row r="588">
      <c r="A588" s="10"/>
      <c r="E588" s="10"/>
      <c r="F588" s="7"/>
      <c r="H588" s="6"/>
      <c r="I588" s="7"/>
      <c r="K588" s="11"/>
    </row>
    <row r="589">
      <c r="A589" s="10"/>
      <c r="E589" s="10"/>
      <c r="F589" s="7"/>
      <c r="H589" s="6"/>
      <c r="I589" s="7"/>
      <c r="K589" s="11"/>
    </row>
    <row r="590">
      <c r="A590" s="10"/>
      <c r="E590" s="10"/>
      <c r="F590" s="7"/>
      <c r="H590" s="6"/>
      <c r="I590" s="7"/>
      <c r="K590" s="11"/>
    </row>
    <row r="591">
      <c r="A591" s="10"/>
      <c r="E591" s="10"/>
      <c r="F591" s="7"/>
      <c r="H591" s="6"/>
      <c r="I591" s="7"/>
      <c r="K591" s="11"/>
    </row>
    <row r="592">
      <c r="A592" s="10"/>
      <c r="E592" s="10"/>
      <c r="F592" s="7"/>
      <c r="H592" s="6"/>
      <c r="I592" s="7"/>
      <c r="K592" s="11"/>
    </row>
    <row r="593">
      <c r="A593" s="10"/>
      <c r="E593" s="10"/>
      <c r="F593" s="7"/>
      <c r="H593" s="6"/>
      <c r="I593" s="7"/>
      <c r="K593" s="11"/>
    </row>
    <row r="594">
      <c r="A594" s="10"/>
      <c r="E594" s="10"/>
      <c r="F594" s="7"/>
      <c r="H594" s="6"/>
      <c r="I594" s="7"/>
      <c r="K594" s="11"/>
    </row>
    <row r="595">
      <c r="A595" s="10"/>
      <c r="E595" s="10"/>
      <c r="F595" s="7"/>
      <c r="H595" s="6"/>
      <c r="I595" s="7"/>
      <c r="K595" s="11"/>
    </row>
    <row r="596">
      <c r="A596" s="10"/>
      <c r="E596" s="10"/>
      <c r="F596" s="7"/>
      <c r="H596" s="6"/>
      <c r="I596" s="7"/>
      <c r="K596" s="11"/>
    </row>
    <row r="597">
      <c r="A597" s="10"/>
      <c r="E597" s="10"/>
      <c r="F597" s="7"/>
      <c r="H597" s="6"/>
      <c r="I597" s="7"/>
      <c r="K597" s="11"/>
    </row>
    <row r="598">
      <c r="A598" s="10"/>
      <c r="E598" s="10"/>
      <c r="F598" s="7"/>
      <c r="H598" s="6"/>
      <c r="I598" s="7"/>
      <c r="K598" s="11"/>
    </row>
    <row r="599">
      <c r="A599" s="10"/>
      <c r="E599" s="10"/>
      <c r="F599" s="7"/>
      <c r="H599" s="6"/>
      <c r="I599" s="7"/>
      <c r="K599" s="11"/>
    </row>
    <row r="600">
      <c r="A600" s="10"/>
      <c r="E600" s="10"/>
      <c r="F600" s="7"/>
      <c r="H600" s="6"/>
      <c r="I600" s="7"/>
      <c r="K600" s="11"/>
    </row>
    <row r="601">
      <c r="A601" s="10"/>
      <c r="E601" s="10"/>
      <c r="F601" s="7"/>
      <c r="H601" s="6"/>
      <c r="I601" s="7"/>
      <c r="K601" s="11"/>
    </row>
    <row r="602">
      <c r="A602" s="10"/>
      <c r="E602" s="10"/>
      <c r="F602" s="7"/>
      <c r="H602" s="6"/>
      <c r="I602" s="7"/>
      <c r="K602" s="11"/>
    </row>
    <row r="603">
      <c r="A603" s="10"/>
      <c r="E603" s="10"/>
      <c r="F603" s="7"/>
      <c r="H603" s="6"/>
      <c r="I603" s="7"/>
      <c r="K603" s="11"/>
    </row>
    <row r="604">
      <c r="A604" s="10"/>
      <c r="E604" s="10"/>
      <c r="F604" s="7"/>
      <c r="H604" s="6"/>
      <c r="I604" s="7"/>
      <c r="K604" s="11"/>
    </row>
    <row r="605">
      <c r="A605" s="10"/>
      <c r="E605" s="10"/>
      <c r="F605" s="7"/>
      <c r="H605" s="6"/>
      <c r="I605" s="7"/>
      <c r="K605" s="11"/>
    </row>
    <row r="606">
      <c r="A606" s="10"/>
      <c r="E606" s="10"/>
      <c r="F606" s="7"/>
      <c r="H606" s="6"/>
      <c r="I606" s="7"/>
      <c r="K606" s="11"/>
    </row>
    <row r="607">
      <c r="A607" s="10"/>
      <c r="E607" s="10"/>
      <c r="F607" s="7"/>
      <c r="H607" s="6"/>
      <c r="I607" s="7"/>
      <c r="K607" s="11"/>
    </row>
    <row r="608">
      <c r="A608" s="10"/>
      <c r="E608" s="10"/>
      <c r="F608" s="7"/>
      <c r="H608" s="6"/>
      <c r="I608" s="7"/>
      <c r="K608" s="11"/>
    </row>
    <row r="609">
      <c r="A609" s="10"/>
      <c r="E609" s="10"/>
      <c r="F609" s="7"/>
      <c r="H609" s="6"/>
      <c r="I609" s="7"/>
      <c r="K609" s="11"/>
    </row>
    <row r="610">
      <c r="A610" s="10"/>
      <c r="E610" s="10"/>
      <c r="F610" s="7"/>
      <c r="H610" s="6"/>
      <c r="I610" s="7"/>
      <c r="K610" s="11"/>
    </row>
    <row r="611">
      <c r="A611" s="10"/>
      <c r="E611" s="10"/>
      <c r="F611" s="7"/>
      <c r="H611" s="6"/>
      <c r="I611" s="7"/>
      <c r="K611" s="11"/>
    </row>
    <row r="612">
      <c r="A612" s="10"/>
      <c r="E612" s="10"/>
      <c r="F612" s="7"/>
      <c r="H612" s="6"/>
      <c r="I612" s="7"/>
      <c r="K612" s="11"/>
    </row>
    <row r="613">
      <c r="A613" s="10"/>
      <c r="E613" s="10"/>
      <c r="F613" s="7"/>
      <c r="H613" s="6"/>
      <c r="I613" s="7"/>
      <c r="K613" s="11"/>
    </row>
    <row r="614">
      <c r="A614" s="10"/>
      <c r="E614" s="10"/>
      <c r="F614" s="7"/>
      <c r="H614" s="6"/>
      <c r="I614" s="7"/>
      <c r="K614" s="11"/>
    </row>
    <row r="615">
      <c r="A615" s="10"/>
      <c r="E615" s="10"/>
      <c r="F615" s="7"/>
      <c r="H615" s="6"/>
      <c r="I615" s="7"/>
      <c r="K615" s="11"/>
    </row>
    <row r="616">
      <c r="A616" s="10"/>
      <c r="E616" s="10"/>
      <c r="F616" s="7"/>
      <c r="H616" s="6"/>
      <c r="I616" s="7"/>
      <c r="K616" s="11"/>
    </row>
    <row r="617">
      <c r="A617" s="10"/>
      <c r="E617" s="10"/>
      <c r="F617" s="7"/>
      <c r="H617" s="6"/>
      <c r="I617" s="7"/>
      <c r="K617" s="11"/>
    </row>
    <row r="618">
      <c r="A618" s="10"/>
      <c r="E618" s="10"/>
      <c r="F618" s="7"/>
      <c r="H618" s="6"/>
      <c r="I618" s="7"/>
      <c r="K618" s="11"/>
    </row>
    <row r="619">
      <c r="A619" s="10"/>
      <c r="E619" s="10"/>
      <c r="F619" s="7"/>
      <c r="H619" s="6"/>
      <c r="I619" s="7"/>
      <c r="K619" s="11"/>
    </row>
    <row r="620">
      <c r="A620" s="10"/>
      <c r="E620" s="10"/>
      <c r="F620" s="7"/>
      <c r="H620" s="6"/>
      <c r="I620" s="7"/>
      <c r="K620" s="11"/>
    </row>
    <row r="621">
      <c r="A621" s="10"/>
      <c r="E621" s="10"/>
      <c r="F621" s="7"/>
      <c r="H621" s="6"/>
      <c r="I621" s="7"/>
      <c r="K621" s="11"/>
    </row>
    <row r="622">
      <c r="A622" s="10"/>
      <c r="E622" s="10"/>
      <c r="F622" s="7"/>
      <c r="H622" s="6"/>
      <c r="I622" s="7"/>
      <c r="K622" s="11"/>
    </row>
    <row r="623">
      <c r="A623" s="10"/>
      <c r="E623" s="10"/>
      <c r="F623" s="7"/>
      <c r="H623" s="6"/>
      <c r="I623" s="7"/>
      <c r="K623" s="11"/>
    </row>
    <row r="624">
      <c r="A624" s="10"/>
      <c r="E624" s="10"/>
      <c r="F624" s="7"/>
      <c r="H624" s="6"/>
      <c r="I624" s="7"/>
      <c r="K624" s="11"/>
    </row>
    <row r="625">
      <c r="A625" s="10"/>
      <c r="E625" s="10"/>
      <c r="F625" s="7"/>
      <c r="H625" s="6"/>
      <c r="I625" s="7"/>
      <c r="K625" s="11"/>
    </row>
    <row r="626">
      <c r="A626" s="10"/>
      <c r="E626" s="10"/>
      <c r="F626" s="7"/>
      <c r="H626" s="6"/>
      <c r="I626" s="7"/>
      <c r="K626" s="11"/>
    </row>
    <row r="627">
      <c r="A627" s="10"/>
      <c r="E627" s="10"/>
      <c r="F627" s="7"/>
      <c r="H627" s="6"/>
      <c r="I627" s="7"/>
      <c r="K627" s="11"/>
    </row>
    <row r="628">
      <c r="A628" s="10"/>
      <c r="E628" s="10"/>
      <c r="F628" s="7"/>
      <c r="H628" s="6"/>
      <c r="I628" s="7"/>
      <c r="K628" s="11"/>
    </row>
    <row r="629">
      <c r="A629" s="10"/>
      <c r="E629" s="10"/>
      <c r="F629" s="7"/>
      <c r="H629" s="6"/>
      <c r="I629" s="7"/>
      <c r="K629" s="11"/>
    </row>
    <row r="630">
      <c r="A630" s="10"/>
      <c r="E630" s="10"/>
      <c r="F630" s="7"/>
      <c r="H630" s="6"/>
      <c r="I630" s="7"/>
      <c r="K630" s="11"/>
    </row>
    <row r="631">
      <c r="A631" s="10"/>
      <c r="E631" s="10"/>
      <c r="F631" s="7"/>
      <c r="H631" s="6"/>
      <c r="I631" s="7"/>
      <c r="K631" s="11"/>
    </row>
    <row r="632">
      <c r="A632" s="10"/>
      <c r="E632" s="10"/>
      <c r="F632" s="7"/>
      <c r="H632" s="6"/>
      <c r="I632" s="7"/>
      <c r="K632" s="11"/>
    </row>
    <row r="633">
      <c r="A633" s="10"/>
      <c r="E633" s="10"/>
      <c r="F633" s="7"/>
      <c r="H633" s="6"/>
      <c r="I633" s="7"/>
      <c r="K633" s="11"/>
    </row>
    <row r="634">
      <c r="A634" s="10"/>
      <c r="E634" s="10"/>
      <c r="F634" s="7"/>
      <c r="H634" s="6"/>
      <c r="I634" s="7"/>
      <c r="K634" s="11"/>
    </row>
    <row r="635">
      <c r="A635" s="10"/>
      <c r="E635" s="10"/>
      <c r="F635" s="7"/>
      <c r="H635" s="6"/>
      <c r="I635" s="7"/>
      <c r="K635" s="11"/>
    </row>
    <row r="636">
      <c r="A636" s="10"/>
      <c r="E636" s="10"/>
      <c r="F636" s="7"/>
      <c r="H636" s="6"/>
      <c r="I636" s="7"/>
      <c r="K636" s="11"/>
    </row>
    <row r="637">
      <c r="A637" s="10"/>
      <c r="E637" s="10"/>
      <c r="F637" s="7"/>
      <c r="H637" s="6"/>
      <c r="I637" s="7"/>
      <c r="K637" s="11"/>
    </row>
    <row r="638">
      <c r="A638" s="10"/>
      <c r="E638" s="10"/>
      <c r="F638" s="7"/>
      <c r="H638" s="6"/>
      <c r="I638" s="7"/>
      <c r="K638" s="11"/>
    </row>
    <row r="639">
      <c r="A639" s="10"/>
      <c r="E639" s="10"/>
      <c r="F639" s="7"/>
      <c r="H639" s="6"/>
      <c r="I639" s="7"/>
      <c r="K639" s="11"/>
    </row>
    <row r="640">
      <c r="A640" s="10"/>
      <c r="E640" s="10"/>
      <c r="F640" s="7"/>
      <c r="H640" s="6"/>
      <c r="I640" s="7"/>
      <c r="K640" s="11"/>
    </row>
    <row r="641">
      <c r="A641" s="10"/>
      <c r="E641" s="10"/>
      <c r="F641" s="7"/>
      <c r="H641" s="6"/>
      <c r="I641" s="7"/>
      <c r="K641" s="11"/>
    </row>
    <row r="642">
      <c r="A642" s="10"/>
      <c r="E642" s="10"/>
      <c r="F642" s="7"/>
      <c r="H642" s="6"/>
      <c r="I642" s="7"/>
      <c r="K642" s="11"/>
    </row>
    <row r="643">
      <c r="A643" s="10"/>
      <c r="E643" s="10"/>
      <c r="F643" s="7"/>
      <c r="H643" s="6"/>
      <c r="I643" s="7"/>
      <c r="K643" s="11"/>
    </row>
    <row r="644">
      <c r="A644" s="10"/>
      <c r="E644" s="10"/>
      <c r="F644" s="7"/>
      <c r="H644" s="6"/>
      <c r="I644" s="7"/>
      <c r="K644" s="11"/>
    </row>
    <row r="645">
      <c r="A645" s="10"/>
      <c r="E645" s="10"/>
      <c r="F645" s="7"/>
      <c r="H645" s="6"/>
      <c r="I645" s="7"/>
      <c r="K645" s="11"/>
    </row>
    <row r="646">
      <c r="A646" s="10"/>
      <c r="E646" s="10"/>
      <c r="F646" s="7"/>
      <c r="H646" s="6"/>
      <c r="I646" s="7"/>
      <c r="K646" s="11"/>
    </row>
    <row r="647">
      <c r="A647" s="10"/>
      <c r="E647" s="10"/>
      <c r="F647" s="7"/>
      <c r="H647" s="6"/>
      <c r="I647" s="7"/>
      <c r="K647" s="11"/>
    </row>
    <row r="648">
      <c r="A648" s="10"/>
      <c r="E648" s="10"/>
      <c r="F648" s="7"/>
      <c r="H648" s="6"/>
      <c r="I648" s="7"/>
      <c r="K648" s="11"/>
    </row>
    <row r="649">
      <c r="A649" s="10"/>
      <c r="E649" s="10"/>
      <c r="F649" s="7"/>
      <c r="H649" s="6"/>
      <c r="I649" s="7"/>
      <c r="K649" s="11"/>
    </row>
    <row r="650">
      <c r="A650" s="10"/>
      <c r="E650" s="10"/>
      <c r="F650" s="7"/>
      <c r="H650" s="6"/>
      <c r="I650" s="7"/>
      <c r="K650" s="11"/>
    </row>
    <row r="651">
      <c r="A651" s="10"/>
      <c r="E651" s="10"/>
      <c r="F651" s="7"/>
      <c r="H651" s="6"/>
      <c r="I651" s="7"/>
      <c r="K651" s="11"/>
    </row>
    <row r="652">
      <c r="A652" s="10"/>
      <c r="E652" s="10"/>
      <c r="F652" s="7"/>
      <c r="H652" s="6"/>
      <c r="I652" s="7"/>
      <c r="K652" s="11"/>
    </row>
    <row r="653">
      <c r="A653" s="10"/>
      <c r="E653" s="10"/>
      <c r="F653" s="7"/>
      <c r="H653" s="6"/>
      <c r="I653" s="7"/>
      <c r="K653" s="11"/>
    </row>
    <row r="654">
      <c r="A654" s="10"/>
      <c r="E654" s="10"/>
      <c r="F654" s="7"/>
      <c r="H654" s="6"/>
      <c r="I654" s="7"/>
      <c r="K654" s="11"/>
    </row>
    <row r="655">
      <c r="A655" s="10"/>
      <c r="E655" s="10"/>
      <c r="F655" s="7"/>
      <c r="H655" s="6"/>
      <c r="I655" s="7"/>
      <c r="K655" s="11"/>
    </row>
    <row r="656">
      <c r="A656" s="10"/>
      <c r="E656" s="10"/>
      <c r="F656" s="7"/>
      <c r="H656" s="6"/>
      <c r="I656" s="7"/>
      <c r="K656" s="11"/>
    </row>
    <row r="657">
      <c r="A657" s="10"/>
      <c r="E657" s="10"/>
      <c r="F657" s="7"/>
      <c r="H657" s="6"/>
      <c r="I657" s="7"/>
      <c r="K657" s="11"/>
    </row>
    <row r="658">
      <c r="A658" s="10"/>
      <c r="E658" s="10"/>
      <c r="F658" s="7"/>
      <c r="H658" s="6"/>
      <c r="I658" s="7"/>
      <c r="K658" s="11"/>
    </row>
    <row r="659">
      <c r="A659" s="10"/>
      <c r="E659" s="10"/>
      <c r="F659" s="7"/>
      <c r="H659" s="6"/>
      <c r="I659" s="7"/>
      <c r="K659" s="11"/>
    </row>
    <row r="660">
      <c r="A660" s="10"/>
      <c r="E660" s="10"/>
      <c r="F660" s="7"/>
      <c r="H660" s="6"/>
      <c r="I660" s="7"/>
      <c r="K660" s="11"/>
    </row>
    <row r="661">
      <c r="A661" s="10"/>
      <c r="E661" s="10"/>
      <c r="F661" s="7"/>
      <c r="H661" s="6"/>
      <c r="I661" s="7"/>
      <c r="K661" s="11"/>
    </row>
    <row r="662">
      <c r="A662" s="10"/>
      <c r="E662" s="10"/>
      <c r="F662" s="7"/>
      <c r="H662" s="6"/>
      <c r="I662" s="7"/>
      <c r="K662" s="11"/>
    </row>
    <row r="663">
      <c r="A663" s="10"/>
      <c r="E663" s="10"/>
      <c r="F663" s="7"/>
      <c r="H663" s="6"/>
      <c r="I663" s="7"/>
      <c r="K663" s="11"/>
    </row>
    <row r="664">
      <c r="A664" s="10"/>
      <c r="E664" s="10"/>
      <c r="F664" s="7"/>
      <c r="H664" s="6"/>
      <c r="I664" s="7"/>
      <c r="K664" s="11"/>
    </row>
    <row r="665">
      <c r="A665" s="10"/>
      <c r="E665" s="10"/>
      <c r="F665" s="7"/>
      <c r="H665" s="6"/>
      <c r="I665" s="7"/>
      <c r="K665" s="11"/>
    </row>
    <row r="666">
      <c r="A666" s="10"/>
      <c r="E666" s="10"/>
      <c r="F666" s="7"/>
      <c r="H666" s="6"/>
      <c r="I666" s="7"/>
      <c r="K666" s="11"/>
    </row>
    <row r="667">
      <c r="A667" s="10"/>
      <c r="E667" s="10"/>
      <c r="F667" s="7"/>
      <c r="H667" s="6"/>
      <c r="I667" s="7"/>
      <c r="K667" s="11"/>
    </row>
    <row r="668">
      <c r="A668" s="10"/>
      <c r="E668" s="10"/>
      <c r="F668" s="7"/>
      <c r="H668" s="6"/>
      <c r="I668" s="7"/>
      <c r="K668" s="11"/>
    </row>
    <row r="669">
      <c r="A669" s="10"/>
      <c r="E669" s="10"/>
      <c r="F669" s="7"/>
      <c r="H669" s="6"/>
      <c r="I669" s="7"/>
      <c r="K669" s="11"/>
    </row>
    <row r="670">
      <c r="A670" s="10"/>
      <c r="E670" s="10"/>
      <c r="F670" s="7"/>
      <c r="H670" s="6"/>
      <c r="I670" s="7"/>
      <c r="K670" s="11"/>
    </row>
    <row r="671">
      <c r="A671" s="10"/>
      <c r="E671" s="10"/>
      <c r="F671" s="7"/>
      <c r="H671" s="6"/>
      <c r="I671" s="7"/>
      <c r="K671" s="11"/>
    </row>
    <row r="672">
      <c r="A672" s="10"/>
      <c r="E672" s="10"/>
      <c r="F672" s="7"/>
      <c r="H672" s="6"/>
      <c r="I672" s="7"/>
      <c r="K672" s="11"/>
    </row>
    <row r="673">
      <c r="A673" s="10"/>
      <c r="E673" s="10"/>
      <c r="F673" s="7"/>
      <c r="H673" s="6"/>
      <c r="I673" s="7"/>
      <c r="K673" s="11"/>
    </row>
    <row r="674">
      <c r="A674" s="10"/>
      <c r="E674" s="10"/>
      <c r="F674" s="7"/>
      <c r="H674" s="6"/>
      <c r="I674" s="7"/>
      <c r="K674" s="11"/>
    </row>
    <row r="675">
      <c r="A675" s="10"/>
      <c r="E675" s="10"/>
      <c r="F675" s="7"/>
      <c r="H675" s="6"/>
      <c r="I675" s="7"/>
      <c r="K675" s="11"/>
    </row>
    <row r="676">
      <c r="A676" s="10"/>
      <c r="E676" s="10"/>
      <c r="F676" s="7"/>
      <c r="H676" s="6"/>
      <c r="I676" s="7"/>
      <c r="K676" s="11"/>
    </row>
    <row r="677">
      <c r="A677" s="10"/>
      <c r="E677" s="10"/>
      <c r="F677" s="7"/>
      <c r="H677" s="6"/>
      <c r="I677" s="7"/>
      <c r="K677" s="11"/>
    </row>
    <row r="678">
      <c r="A678" s="10"/>
      <c r="E678" s="10"/>
      <c r="F678" s="7"/>
      <c r="H678" s="6"/>
      <c r="I678" s="7"/>
      <c r="K678" s="11"/>
    </row>
    <row r="679">
      <c r="A679" s="10"/>
      <c r="E679" s="10"/>
      <c r="F679" s="7"/>
      <c r="H679" s="6"/>
      <c r="I679" s="7"/>
      <c r="K679" s="11"/>
    </row>
    <row r="680">
      <c r="A680" s="10"/>
      <c r="E680" s="10"/>
      <c r="F680" s="7"/>
      <c r="H680" s="6"/>
      <c r="I680" s="7"/>
      <c r="K680" s="11"/>
    </row>
    <row r="681">
      <c r="A681" s="10"/>
      <c r="E681" s="10"/>
      <c r="F681" s="7"/>
      <c r="H681" s="6"/>
      <c r="I681" s="7"/>
      <c r="K681" s="11"/>
    </row>
    <row r="682">
      <c r="A682" s="10"/>
      <c r="E682" s="10"/>
      <c r="F682" s="7"/>
      <c r="H682" s="6"/>
      <c r="I682" s="7"/>
      <c r="K682" s="11"/>
    </row>
    <row r="683">
      <c r="A683" s="10"/>
      <c r="E683" s="10"/>
      <c r="F683" s="7"/>
      <c r="H683" s="6"/>
      <c r="I683" s="7"/>
      <c r="K683" s="11"/>
    </row>
    <row r="684">
      <c r="A684" s="10"/>
      <c r="E684" s="10"/>
      <c r="F684" s="7"/>
      <c r="H684" s="6"/>
      <c r="I684" s="7"/>
      <c r="K684" s="11"/>
    </row>
    <row r="685">
      <c r="A685" s="10"/>
      <c r="E685" s="10"/>
      <c r="F685" s="7"/>
      <c r="H685" s="6"/>
      <c r="I685" s="7"/>
      <c r="K685" s="11"/>
    </row>
    <row r="686">
      <c r="A686" s="10"/>
      <c r="E686" s="10"/>
      <c r="F686" s="7"/>
      <c r="H686" s="6"/>
      <c r="I686" s="7"/>
      <c r="K686" s="11"/>
    </row>
    <row r="687">
      <c r="A687" s="10"/>
      <c r="E687" s="10"/>
      <c r="F687" s="7"/>
      <c r="H687" s="6"/>
      <c r="I687" s="7"/>
      <c r="K687" s="11"/>
    </row>
    <row r="688">
      <c r="A688" s="10"/>
      <c r="E688" s="10"/>
      <c r="F688" s="7"/>
      <c r="H688" s="6"/>
      <c r="I688" s="7"/>
      <c r="K688" s="11"/>
    </row>
    <row r="689">
      <c r="A689" s="10"/>
      <c r="E689" s="10"/>
      <c r="F689" s="7"/>
      <c r="H689" s="6"/>
      <c r="I689" s="7"/>
      <c r="K689" s="11"/>
    </row>
    <row r="690">
      <c r="A690" s="10"/>
      <c r="E690" s="10"/>
      <c r="F690" s="7"/>
      <c r="H690" s="6"/>
      <c r="I690" s="7"/>
      <c r="K690" s="11"/>
    </row>
    <row r="691">
      <c r="A691" s="10"/>
      <c r="E691" s="10"/>
      <c r="F691" s="7"/>
      <c r="H691" s="6"/>
      <c r="I691" s="7"/>
      <c r="K691" s="11"/>
    </row>
    <row r="692">
      <c r="A692" s="10"/>
      <c r="E692" s="10"/>
      <c r="F692" s="7"/>
      <c r="H692" s="6"/>
      <c r="I692" s="7"/>
      <c r="K692" s="11"/>
    </row>
    <row r="693">
      <c r="A693" s="10"/>
      <c r="E693" s="10"/>
      <c r="F693" s="7"/>
      <c r="H693" s="6"/>
      <c r="I693" s="7"/>
      <c r="K693" s="11"/>
    </row>
    <row r="694">
      <c r="A694" s="10"/>
      <c r="E694" s="10"/>
      <c r="F694" s="7"/>
      <c r="H694" s="6"/>
      <c r="I694" s="7"/>
      <c r="K694" s="11"/>
    </row>
    <row r="695">
      <c r="A695" s="10"/>
      <c r="E695" s="10"/>
      <c r="F695" s="7"/>
      <c r="H695" s="6"/>
      <c r="I695" s="7"/>
      <c r="K695" s="11"/>
    </row>
    <row r="696">
      <c r="A696" s="10"/>
      <c r="E696" s="10"/>
      <c r="F696" s="7"/>
      <c r="H696" s="6"/>
      <c r="I696" s="7"/>
      <c r="K696" s="11"/>
    </row>
    <row r="697">
      <c r="A697" s="10"/>
      <c r="E697" s="10"/>
      <c r="F697" s="7"/>
      <c r="H697" s="6"/>
      <c r="I697" s="7"/>
      <c r="K697" s="11"/>
    </row>
    <row r="698">
      <c r="A698" s="10"/>
      <c r="E698" s="10"/>
      <c r="F698" s="7"/>
      <c r="H698" s="6"/>
      <c r="I698" s="7"/>
      <c r="K698" s="11"/>
    </row>
    <row r="699">
      <c r="A699" s="10"/>
      <c r="E699" s="10"/>
      <c r="F699" s="7"/>
      <c r="H699" s="6"/>
      <c r="I699" s="7"/>
      <c r="K699" s="11"/>
    </row>
    <row r="700">
      <c r="A700" s="10"/>
      <c r="E700" s="10"/>
      <c r="F700" s="7"/>
      <c r="H700" s="6"/>
      <c r="I700" s="7"/>
      <c r="K700" s="11"/>
    </row>
    <row r="701">
      <c r="A701" s="10"/>
      <c r="E701" s="10"/>
      <c r="F701" s="7"/>
      <c r="H701" s="6"/>
      <c r="I701" s="7"/>
      <c r="K701" s="11"/>
    </row>
    <row r="702">
      <c r="A702" s="10"/>
      <c r="E702" s="10"/>
      <c r="F702" s="7"/>
      <c r="H702" s="6"/>
      <c r="I702" s="7"/>
      <c r="K702" s="11"/>
    </row>
    <row r="703">
      <c r="A703" s="10"/>
      <c r="E703" s="10"/>
      <c r="F703" s="7"/>
      <c r="H703" s="6"/>
      <c r="I703" s="7"/>
      <c r="K703" s="11"/>
    </row>
    <row r="704">
      <c r="A704" s="10"/>
      <c r="E704" s="10"/>
      <c r="F704" s="7"/>
      <c r="H704" s="6"/>
      <c r="I704" s="7"/>
      <c r="K704" s="11"/>
    </row>
    <row r="705">
      <c r="A705" s="10"/>
      <c r="E705" s="10"/>
      <c r="F705" s="7"/>
      <c r="H705" s="6"/>
      <c r="I705" s="7"/>
      <c r="K705" s="11"/>
    </row>
    <row r="706">
      <c r="A706" s="10"/>
      <c r="E706" s="10"/>
      <c r="F706" s="7"/>
      <c r="H706" s="6"/>
      <c r="I706" s="7"/>
      <c r="K706" s="11"/>
    </row>
    <row r="707">
      <c r="A707" s="10"/>
      <c r="E707" s="10"/>
      <c r="F707" s="7"/>
      <c r="H707" s="6"/>
      <c r="I707" s="7"/>
      <c r="K707" s="11"/>
    </row>
    <row r="708">
      <c r="A708" s="10"/>
      <c r="E708" s="10"/>
      <c r="F708" s="7"/>
      <c r="H708" s="6"/>
      <c r="I708" s="7"/>
      <c r="K708" s="11"/>
    </row>
    <row r="709">
      <c r="A709" s="10"/>
      <c r="E709" s="10"/>
      <c r="F709" s="7"/>
      <c r="H709" s="6"/>
      <c r="I709" s="7"/>
      <c r="K709" s="11"/>
    </row>
    <row r="710">
      <c r="A710" s="10"/>
      <c r="E710" s="10"/>
      <c r="F710" s="7"/>
      <c r="H710" s="6"/>
      <c r="I710" s="7"/>
      <c r="K710" s="11"/>
    </row>
    <row r="711">
      <c r="A711" s="10"/>
      <c r="E711" s="10"/>
      <c r="F711" s="7"/>
      <c r="H711" s="6"/>
      <c r="I711" s="7"/>
      <c r="K711" s="11"/>
    </row>
    <row r="712">
      <c r="A712" s="10"/>
      <c r="E712" s="10"/>
      <c r="F712" s="7"/>
      <c r="H712" s="6"/>
      <c r="I712" s="7"/>
      <c r="K712" s="11"/>
    </row>
    <row r="713">
      <c r="A713" s="10"/>
      <c r="E713" s="10"/>
      <c r="F713" s="7"/>
      <c r="H713" s="6"/>
      <c r="I713" s="7"/>
      <c r="K713" s="11"/>
    </row>
    <row r="714">
      <c r="A714" s="10"/>
      <c r="E714" s="10"/>
      <c r="F714" s="7"/>
      <c r="H714" s="6"/>
      <c r="I714" s="7"/>
      <c r="K714" s="11"/>
    </row>
    <row r="715">
      <c r="A715" s="10"/>
      <c r="E715" s="10"/>
      <c r="F715" s="7"/>
      <c r="H715" s="6"/>
      <c r="I715" s="7"/>
      <c r="K715" s="11"/>
    </row>
    <row r="716">
      <c r="A716" s="10"/>
      <c r="E716" s="10"/>
      <c r="F716" s="7"/>
      <c r="H716" s="6"/>
      <c r="I716" s="7"/>
      <c r="K716" s="11"/>
    </row>
    <row r="717">
      <c r="A717" s="10"/>
      <c r="E717" s="10"/>
      <c r="F717" s="7"/>
      <c r="H717" s="6"/>
      <c r="I717" s="7"/>
      <c r="K717" s="11"/>
    </row>
    <row r="718">
      <c r="A718" s="10"/>
      <c r="E718" s="10"/>
      <c r="F718" s="7"/>
      <c r="H718" s="6"/>
      <c r="I718" s="7"/>
      <c r="K718" s="11"/>
    </row>
    <row r="719">
      <c r="A719" s="10"/>
      <c r="E719" s="10"/>
      <c r="F719" s="7"/>
      <c r="H719" s="6"/>
      <c r="I719" s="7"/>
      <c r="K719" s="11"/>
    </row>
    <row r="720">
      <c r="A720" s="10"/>
      <c r="E720" s="10"/>
      <c r="F720" s="7"/>
      <c r="H720" s="6"/>
      <c r="I720" s="7"/>
      <c r="K720" s="11"/>
    </row>
    <row r="721">
      <c r="A721" s="10"/>
      <c r="E721" s="10"/>
      <c r="F721" s="7"/>
      <c r="H721" s="6"/>
      <c r="I721" s="7"/>
      <c r="K721" s="11"/>
    </row>
    <row r="722">
      <c r="A722" s="10"/>
      <c r="E722" s="10"/>
      <c r="F722" s="7"/>
      <c r="H722" s="6"/>
      <c r="I722" s="7"/>
      <c r="K722" s="11"/>
    </row>
    <row r="723">
      <c r="A723" s="10"/>
      <c r="E723" s="10"/>
      <c r="F723" s="7"/>
      <c r="H723" s="6"/>
      <c r="I723" s="7"/>
      <c r="K723" s="11"/>
    </row>
    <row r="724">
      <c r="A724" s="10"/>
      <c r="E724" s="10"/>
      <c r="F724" s="7"/>
      <c r="H724" s="6"/>
      <c r="I724" s="7"/>
      <c r="K724" s="11"/>
    </row>
    <row r="725">
      <c r="A725" s="10"/>
      <c r="E725" s="10"/>
      <c r="F725" s="7"/>
      <c r="H725" s="6"/>
      <c r="I725" s="7"/>
      <c r="K725" s="11"/>
    </row>
    <row r="726">
      <c r="A726" s="10"/>
      <c r="E726" s="10"/>
      <c r="F726" s="7"/>
      <c r="H726" s="6"/>
      <c r="I726" s="7"/>
      <c r="K726" s="11"/>
    </row>
    <row r="727">
      <c r="A727" s="10"/>
      <c r="E727" s="10"/>
      <c r="F727" s="7"/>
      <c r="H727" s="6"/>
      <c r="I727" s="7"/>
      <c r="K727" s="11"/>
    </row>
    <row r="728">
      <c r="A728" s="10"/>
      <c r="E728" s="10"/>
      <c r="F728" s="7"/>
      <c r="H728" s="6"/>
      <c r="I728" s="7"/>
      <c r="K728" s="11"/>
    </row>
    <row r="729">
      <c r="A729" s="10"/>
      <c r="E729" s="10"/>
      <c r="F729" s="7"/>
      <c r="H729" s="6"/>
      <c r="I729" s="7"/>
      <c r="K729" s="11"/>
    </row>
    <row r="730">
      <c r="A730" s="10"/>
      <c r="E730" s="10"/>
      <c r="F730" s="7"/>
      <c r="H730" s="6"/>
      <c r="I730" s="7"/>
      <c r="K730" s="11"/>
    </row>
    <row r="731">
      <c r="A731" s="10"/>
      <c r="E731" s="10"/>
      <c r="F731" s="7"/>
      <c r="H731" s="6"/>
      <c r="I731" s="7"/>
      <c r="K731" s="11"/>
    </row>
    <row r="732">
      <c r="A732" s="10"/>
      <c r="E732" s="10"/>
      <c r="F732" s="7"/>
      <c r="H732" s="6"/>
      <c r="I732" s="7"/>
      <c r="K732" s="11"/>
    </row>
    <row r="733">
      <c r="A733" s="10"/>
      <c r="E733" s="10"/>
      <c r="F733" s="7"/>
      <c r="H733" s="6"/>
      <c r="I733" s="7"/>
      <c r="K733" s="11"/>
    </row>
    <row r="734">
      <c r="A734" s="10"/>
      <c r="E734" s="10"/>
      <c r="F734" s="7"/>
      <c r="H734" s="6"/>
      <c r="I734" s="7"/>
      <c r="K734" s="11"/>
    </row>
    <row r="735">
      <c r="A735" s="10"/>
      <c r="E735" s="10"/>
      <c r="F735" s="7"/>
      <c r="H735" s="6"/>
      <c r="I735" s="7"/>
      <c r="K735" s="11"/>
    </row>
    <row r="736">
      <c r="A736" s="10"/>
      <c r="E736" s="10"/>
      <c r="F736" s="7"/>
      <c r="H736" s="6"/>
      <c r="I736" s="7"/>
      <c r="K736" s="11"/>
    </row>
    <row r="737">
      <c r="A737" s="10"/>
      <c r="E737" s="10"/>
      <c r="F737" s="7"/>
      <c r="H737" s="6"/>
      <c r="I737" s="7"/>
      <c r="K737" s="11"/>
    </row>
    <row r="738">
      <c r="A738" s="10"/>
      <c r="E738" s="10"/>
      <c r="F738" s="7"/>
      <c r="H738" s="6"/>
      <c r="I738" s="7"/>
      <c r="K738" s="11"/>
    </row>
    <row r="739">
      <c r="A739" s="10"/>
      <c r="E739" s="10"/>
      <c r="F739" s="7"/>
      <c r="H739" s="6"/>
      <c r="I739" s="7"/>
      <c r="K739" s="11"/>
    </row>
    <row r="740">
      <c r="A740" s="10"/>
      <c r="E740" s="10"/>
      <c r="F740" s="7"/>
      <c r="H740" s="6"/>
      <c r="I740" s="7"/>
      <c r="K740" s="11"/>
    </row>
    <row r="741">
      <c r="A741" s="10"/>
      <c r="E741" s="10"/>
      <c r="F741" s="7"/>
      <c r="H741" s="6"/>
      <c r="I741" s="7"/>
      <c r="K741" s="11"/>
    </row>
    <row r="742">
      <c r="A742" s="10"/>
      <c r="E742" s="10"/>
      <c r="F742" s="7"/>
      <c r="H742" s="6"/>
      <c r="I742" s="7"/>
      <c r="K742" s="11"/>
    </row>
    <row r="743">
      <c r="A743" s="10"/>
      <c r="E743" s="10"/>
      <c r="F743" s="7"/>
      <c r="H743" s="6"/>
      <c r="I743" s="7"/>
      <c r="K743" s="11"/>
    </row>
    <row r="744">
      <c r="A744" s="10"/>
      <c r="E744" s="10"/>
      <c r="F744" s="7"/>
      <c r="H744" s="6"/>
      <c r="I744" s="7"/>
      <c r="K744" s="11"/>
    </row>
    <row r="745">
      <c r="A745" s="10"/>
      <c r="E745" s="10"/>
      <c r="F745" s="7"/>
      <c r="H745" s="6"/>
      <c r="I745" s="7"/>
      <c r="K745" s="11"/>
    </row>
    <row r="746">
      <c r="A746" s="10"/>
      <c r="E746" s="10"/>
      <c r="F746" s="7"/>
      <c r="H746" s="6"/>
      <c r="I746" s="7"/>
      <c r="K746" s="11"/>
    </row>
    <row r="747">
      <c r="A747" s="10"/>
      <c r="E747" s="10"/>
      <c r="F747" s="7"/>
      <c r="H747" s="6"/>
      <c r="I747" s="7"/>
      <c r="K747" s="11"/>
    </row>
    <row r="748">
      <c r="A748" s="10"/>
      <c r="E748" s="10"/>
      <c r="F748" s="7"/>
      <c r="H748" s="6"/>
      <c r="I748" s="7"/>
      <c r="K748" s="11"/>
    </row>
    <row r="749">
      <c r="A749" s="10"/>
      <c r="E749" s="10"/>
      <c r="F749" s="7"/>
      <c r="H749" s="6"/>
      <c r="I749" s="7"/>
      <c r="K749" s="11"/>
    </row>
    <row r="750">
      <c r="A750" s="10"/>
      <c r="E750" s="10"/>
      <c r="F750" s="7"/>
      <c r="H750" s="6"/>
      <c r="I750" s="7"/>
      <c r="K750" s="11"/>
    </row>
    <row r="751">
      <c r="A751" s="10"/>
      <c r="E751" s="10"/>
      <c r="F751" s="7"/>
      <c r="H751" s="6"/>
      <c r="I751" s="7"/>
      <c r="K751" s="11"/>
    </row>
    <row r="752">
      <c r="A752" s="10"/>
      <c r="E752" s="10"/>
      <c r="F752" s="7"/>
      <c r="H752" s="6"/>
      <c r="I752" s="7"/>
      <c r="K752" s="11"/>
    </row>
    <row r="753">
      <c r="A753" s="10"/>
      <c r="E753" s="10"/>
      <c r="F753" s="7"/>
      <c r="H753" s="6"/>
      <c r="I753" s="7"/>
      <c r="K753" s="11"/>
    </row>
    <row r="754">
      <c r="A754" s="10"/>
      <c r="E754" s="10"/>
      <c r="F754" s="7"/>
      <c r="H754" s="6"/>
      <c r="I754" s="7"/>
      <c r="K754" s="11"/>
    </row>
    <row r="755">
      <c r="A755" s="10"/>
      <c r="E755" s="10"/>
      <c r="F755" s="7"/>
      <c r="H755" s="6"/>
      <c r="I755" s="7"/>
      <c r="K755" s="11"/>
    </row>
    <row r="756">
      <c r="A756" s="10"/>
      <c r="E756" s="10"/>
      <c r="F756" s="7"/>
      <c r="H756" s="6"/>
      <c r="I756" s="7"/>
      <c r="K756" s="11"/>
    </row>
    <row r="757">
      <c r="A757" s="10"/>
      <c r="E757" s="10"/>
      <c r="F757" s="7"/>
      <c r="H757" s="6"/>
      <c r="I757" s="7"/>
      <c r="K757" s="11"/>
    </row>
    <row r="758">
      <c r="A758" s="10"/>
      <c r="E758" s="10"/>
      <c r="F758" s="7"/>
      <c r="H758" s="6"/>
      <c r="I758" s="7"/>
      <c r="K758" s="11"/>
    </row>
    <row r="759">
      <c r="A759" s="10"/>
      <c r="E759" s="10"/>
      <c r="F759" s="7"/>
      <c r="H759" s="6"/>
      <c r="I759" s="7"/>
      <c r="K759" s="11"/>
    </row>
    <row r="760">
      <c r="A760" s="10"/>
      <c r="E760" s="10"/>
      <c r="F760" s="7"/>
      <c r="H760" s="6"/>
      <c r="I760" s="7"/>
      <c r="K760" s="11"/>
    </row>
    <row r="761">
      <c r="A761" s="10"/>
      <c r="E761" s="10"/>
      <c r="F761" s="7"/>
      <c r="H761" s="6"/>
      <c r="I761" s="7"/>
      <c r="K761" s="11"/>
    </row>
    <row r="762">
      <c r="A762" s="10"/>
      <c r="E762" s="10"/>
      <c r="F762" s="7"/>
      <c r="H762" s="6"/>
      <c r="I762" s="7"/>
      <c r="K762" s="11"/>
    </row>
    <row r="763">
      <c r="A763" s="10"/>
      <c r="E763" s="10"/>
      <c r="F763" s="7"/>
      <c r="H763" s="6"/>
      <c r="I763" s="7"/>
      <c r="K763" s="11"/>
    </row>
    <row r="764">
      <c r="A764" s="10"/>
      <c r="E764" s="10"/>
      <c r="F764" s="7"/>
      <c r="H764" s="6"/>
      <c r="I764" s="7"/>
      <c r="K764" s="11"/>
    </row>
    <row r="765">
      <c r="A765" s="10"/>
      <c r="E765" s="10"/>
      <c r="F765" s="7"/>
      <c r="H765" s="6"/>
      <c r="I765" s="7"/>
      <c r="K765" s="11"/>
    </row>
    <row r="766">
      <c r="A766" s="10"/>
      <c r="E766" s="10"/>
      <c r="F766" s="7"/>
      <c r="H766" s="6"/>
      <c r="I766" s="7"/>
      <c r="K766" s="11"/>
    </row>
    <row r="767">
      <c r="A767" s="10"/>
      <c r="E767" s="10"/>
      <c r="F767" s="7"/>
      <c r="H767" s="6"/>
      <c r="I767" s="7"/>
      <c r="K767" s="11"/>
    </row>
    <row r="768">
      <c r="A768" s="10"/>
      <c r="E768" s="10"/>
      <c r="F768" s="7"/>
      <c r="H768" s="6"/>
      <c r="I768" s="7"/>
      <c r="K768" s="11"/>
    </row>
    <row r="769">
      <c r="A769" s="10"/>
      <c r="E769" s="10"/>
      <c r="F769" s="7"/>
      <c r="H769" s="6"/>
      <c r="I769" s="7"/>
      <c r="K769" s="11"/>
    </row>
    <row r="770">
      <c r="A770" s="10"/>
      <c r="E770" s="10"/>
      <c r="F770" s="7"/>
      <c r="H770" s="6"/>
      <c r="I770" s="7"/>
      <c r="K770" s="11"/>
    </row>
    <row r="771">
      <c r="A771" s="10"/>
      <c r="E771" s="10"/>
      <c r="F771" s="7"/>
      <c r="H771" s="6"/>
      <c r="I771" s="7"/>
      <c r="K771" s="11"/>
    </row>
    <row r="772">
      <c r="A772" s="10"/>
      <c r="E772" s="10"/>
      <c r="F772" s="7"/>
      <c r="H772" s="6"/>
      <c r="I772" s="7"/>
      <c r="K772" s="11"/>
    </row>
    <row r="773">
      <c r="A773" s="10"/>
      <c r="E773" s="10"/>
      <c r="F773" s="7"/>
      <c r="H773" s="6"/>
      <c r="I773" s="7"/>
      <c r="K773" s="11"/>
    </row>
    <row r="774">
      <c r="A774" s="10"/>
      <c r="E774" s="10"/>
      <c r="F774" s="7"/>
      <c r="H774" s="6"/>
      <c r="I774" s="7"/>
      <c r="K774" s="11"/>
    </row>
    <row r="775">
      <c r="A775" s="10"/>
      <c r="E775" s="10"/>
      <c r="F775" s="7"/>
      <c r="H775" s="6"/>
      <c r="I775" s="7"/>
      <c r="K775" s="11"/>
    </row>
    <row r="776">
      <c r="A776" s="10"/>
      <c r="E776" s="10"/>
      <c r="F776" s="7"/>
      <c r="H776" s="6"/>
      <c r="I776" s="7"/>
      <c r="K776" s="11"/>
    </row>
    <row r="777">
      <c r="A777" s="10"/>
      <c r="E777" s="10"/>
      <c r="F777" s="7"/>
      <c r="H777" s="6"/>
      <c r="I777" s="7"/>
      <c r="K777" s="11"/>
    </row>
    <row r="778">
      <c r="A778" s="10"/>
      <c r="E778" s="10"/>
      <c r="F778" s="7"/>
      <c r="H778" s="6"/>
      <c r="I778" s="7"/>
      <c r="K778" s="11"/>
    </row>
    <row r="779">
      <c r="A779" s="10"/>
      <c r="E779" s="10"/>
      <c r="F779" s="7"/>
      <c r="H779" s="6"/>
      <c r="I779" s="7"/>
      <c r="K779" s="11"/>
    </row>
    <row r="780">
      <c r="A780" s="10"/>
      <c r="E780" s="10"/>
      <c r="F780" s="7"/>
      <c r="H780" s="6"/>
      <c r="I780" s="7"/>
      <c r="K780" s="11"/>
    </row>
    <row r="781">
      <c r="A781" s="10"/>
      <c r="E781" s="10"/>
      <c r="F781" s="7"/>
      <c r="H781" s="6"/>
      <c r="I781" s="7"/>
      <c r="K781" s="11"/>
    </row>
    <row r="782">
      <c r="A782" s="10"/>
      <c r="E782" s="10"/>
      <c r="F782" s="7"/>
      <c r="H782" s="6"/>
      <c r="I782" s="7"/>
      <c r="K782" s="11"/>
    </row>
    <row r="783">
      <c r="A783" s="10"/>
      <c r="E783" s="10"/>
      <c r="F783" s="7"/>
      <c r="H783" s="6"/>
      <c r="I783" s="7"/>
      <c r="K783" s="11"/>
    </row>
    <row r="784">
      <c r="A784" s="10"/>
      <c r="E784" s="10"/>
      <c r="F784" s="7"/>
      <c r="H784" s="6"/>
      <c r="I784" s="7"/>
      <c r="K784" s="11"/>
    </row>
    <row r="785">
      <c r="A785" s="10"/>
      <c r="E785" s="10"/>
      <c r="F785" s="7"/>
      <c r="H785" s="6"/>
      <c r="I785" s="7"/>
      <c r="K785" s="11"/>
    </row>
    <row r="786">
      <c r="A786" s="10"/>
      <c r="E786" s="10"/>
      <c r="F786" s="7"/>
      <c r="H786" s="6"/>
      <c r="I786" s="7"/>
      <c r="K786" s="11"/>
    </row>
    <row r="787">
      <c r="A787" s="10"/>
      <c r="E787" s="10"/>
      <c r="F787" s="7"/>
      <c r="H787" s="6"/>
      <c r="I787" s="7"/>
      <c r="K787" s="11"/>
    </row>
    <row r="788">
      <c r="A788" s="10"/>
      <c r="E788" s="10"/>
      <c r="F788" s="7"/>
      <c r="H788" s="6"/>
      <c r="I788" s="7"/>
      <c r="K788" s="11"/>
    </row>
    <row r="789">
      <c r="A789" s="10"/>
      <c r="E789" s="10"/>
      <c r="F789" s="7"/>
      <c r="H789" s="6"/>
      <c r="I789" s="7"/>
      <c r="K789" s="11"/>
    </row>
    <row r="790">
      <c r="A790" s="10"/>
      <c r="E790" s="10"/>
      <c r="F790" s="7"/>
      <c r="H790" s="6"/>
      <c r="I790" s="7"/>
      <c r="K790" s="11"/>
    </row>
    <row r="791">
      <c r="A791" s="10"/>
      <c r="E791" s="10"/>
      <c r="F791" s="7"/>
      <c r="H791" s="6"/>
      <c r="I791" s="7"/>
      <c r="K791" s="11"/>
    </row>
    <row r="792">
      <c r="A792" s="10"/>
      <c r="E792" s="10"/>
      <c r="F792" s="7"/>
      <c r="H792" s="6"/>
      <c r="I792" s="7"/>
      <c r="K792" s="11"/>
    </row>
    <row r="793">
      <c r="A793" s="10"/>
      <c r="E793" s="10"/>
      <c r="F793" s="7"/>
      <c r="H793" s="6"/>
      <c r="I793" s="7"/>
      <c r="K793" s="11"/>
    </row>
    <row r="794">
      <c r="A794" s="10"/>
      <c r="E794" s="10"/>
      <c r="F794" s="7"/>
      <c r="H794" s="6"/>
      <c r="I794" s="7"/>
      <c r="K794" s="11"/>
    </row>
    <row r="795">
      <c r="A795" s="10"/>
      <c r="E795" s="10"/>
      <c r="F795" s="7"/>
      <c r="H795" s="6"/>
      <c r="I795" s="7"/>
      <c r="K795" s="11"/>
    </row>
    <row r="796">
      <c r="A796" s="10"/>
      <c r="E796" s="10"/>
      <c r="F796" s="7"/>
      <c r="H796" s="6"/>
      <c r="I796" s="7"/>
      <c r="K796" s="11"/>
    </row>
    <row r="797">
      <c r="A797" s="10"/>
      <c r="E797" s="10"/>
      <c r="F797" s="7"/>
      <c r="H797" s="6"/>
      <c r="I797" s="7"/>
      <c r="K797" s="11"/>
    </row>
    <row r="798">
      <c r="A798" s="10"/>
      <c r="E798" s="10"/>
      <c r="F798" s="7"/>
      <c r="H798" s="6"/>
      <c r="I798" s="7"/>
      <c r="K798" s="11"/>
    </row>
    <row r="799">
      <c r="A799" s="10"/>
      <c r="E799" s="10"/>
      <c r="F799" s="7"/>
      <c r="H799" s="6"/>
      <c r="I799" s="7"/>
      <c r="K799" s="11"/>
    </row>
    <row r="800">
      <c r="A800" s="10"/>
      <c r="E800" s="10"/>
      <c r="F800" s="7"/>
      <c r="H800" s="6"/>
      <c r="I800" s="7"/>
      <c r="K800" s="11"/>
    </row>
    <row r="801">
      <c r="A801" s="10"/>
      <c r="E801" s="10"/>
      <c r="F801" s="7"/>
      <c r="H801" s="6"/>
      <c r="I801" s="7"/>
      <c r="K801" s="11"/>
    </row>
    <row r="802">
      <c r="A802" s="10"/>
      <c r="E802" s="10"/>
      <c r="F802" s="7"/>
      <c r="H802" s="6"/>
      <c r="I802" s="7"/>
      <c r="K802" s="11"/>
    </row>
    <row r="803">
      <c r="A803" s="10"/>
      <c r="E803" s="10"/>
      <c r="F803" s="7"/>
      <c r="H803" s="6"/>
      <c r="I803" s="7"/>
      <c r="K803" s="11"/>
    </row>
    <row r="804">
      <c r="A804" s="10"/>
      <c r="E804" s="10"/>
      <c r="F804" s="7"/>
      <c r="H804" s="6"/>
      <c r="I804" s="7"/>
      <c r="K804" s="11"/>
    </row>
    <row r="805">
      <c r="A805" s="10"/>
      <c r="E805" s="10"/>
      <c r="F805" s="7"/>
      <c r="H805" s="6"/>
      <c r="I805" s="7"/>
      <c r="K805" s="11"/>
    </row>
    <row r="806">
      <c r="A806" s="10"/>
      <c r="E806" s="10"/>
      <c r="F806" s="7"/>
      <c r="H806" s="6"/>
      <c r="I806" s="7"/>
      <c r="K806" s="11"/>
    </row>
    <row r="807">
      <c r="A807" s="10"/>
      <c r="E807" s="10"/>
      <c r="F807" s="7"/>
      <c r="H807" s="6"/>
      <c r="I807" s="7"/>
      <c r="K807" s="11"/>
    </row>
    <row r="808">
      <c r="A808" s="10"/>
      <c r="E808" s="10"/>
      <c r="F808" s="7"/>
      <c r="H808" s="6"/>
      <c r="I808" s="7"/>
      <c r="K808" s="11"/>
    </row>
    <row r="809">
      <c r="A809" s="10"/>
      <c r="E809" s="10"/>
      <c r="F809" s="7"/>
      <c r="H809" s="6"/>
      <c r="I809" s="7"/>
      <c r="K809" s="11"/>
    </row>
    <row r="810">
      <c r="A810" s="10"/>
      <c r="E810" s="10"/>
      <c r="F810" s="7"/>
      <c r="H810" s="6"/>
      <c r="I810" s="7"/>
      <c r="K810" s="11"/>
    </row>
    <row r="811">
      <c r="A811" s="10"/>
      <c r="E811" s="10"/>
      <c r="F811" s="7"/>
      <c r="H811" s="6"/>
      <c r="I811" s="7"/>
      <c r="K811" s="11"/>
    </row>
    <row r="812">
      <c r="A812" s="10"/>
      <c r="E812" s="10"/>
      <c r="F812" s="7"/>
      <c r="H812" s="6"/>
      <c r="I812" s="7"/>
      <c r="K812" s="11"/>
    </row>
    <row r="813">
      <c r="A813" s="10"/>
      <c r="E813" s="10"/>
      <c r="F813" s="7"/>
      <c r="H813" s="6"/>
      <c r="I813" s="7"/>
      <c r="K813" s="11"/>
    </row>
    <row r="814">
      <c r="A814" s="10"/>
      <c r="E814" s="10"/>
      <c r="F814" s="7"/>
      <c r="H814" s="6"/>
      <c r="I814" s="7"/>
      <c r="K814" s="11"/>
    </row>
    <row r="815">
      <c r="A815" s="10"/>
      <c r="E815" s="10"/>
      <c r="F815" s="7"/>
      <c r="H815" s="6"/>
      <c r="I815" s="7"/>
      <c r="K815" s="11"/>
    </row>
    <row r="816">
      <c r="A816" s="10"/>
      <c r="E816" s="10"/>
      <c r="F816" s="7"/>
      <c r="H816" s="6"/>
      <c r="I816" s="7"/>
      <c r="K816" s="11"/>
    </row>
    <row r="817">
      <c r="A817" s="10"/>
      <c r="E817" s="10"/>
      <c r="F817" s="7"/>
      <c r="H817" s="6"/>
      <c r="I817" s="7"/>
      <c r="K817" s="11"/>
    </row>
    <row r="818">
      <c r="A818" s="10"/>
      <c r="E818" s="10"/>
      <c r="F818" s="7"/>
      <c r="H818" s="6"/>
      <c r="I818" s="7"/>
      <c r="K818" s="11"/>
    </row>
    <row r="819">
      <c r="A819" s="10"/>
      <c r="E819" s="10"/>
      <c r="F819" s="7"/>
      <c r="H819" s="6"/>
      <c r="I819" s="7"/>
      <c r="K819" s="11"/>
    </row>
    <row r="820">
      <c r="A820" s="10"/>
      <c r="E820" s="10"/>
      <c r="F820" s="7"/>
      <c r="H820" s="6"/>
      <c r="I820" s="7"/>
      <c r="K820" s="11"/>
    </row>
    <row r="821">
      <c r="A821" s="10"/>
      <c r="E821" s="10"/>
      <c r="F821" s="7"/>
      <c r="H821" s="6"/>
      <c r="I821" s="7"/>
      <c r="K821" s="11"/>
    </row>
    <row r="822">
      <c r="A822" s="10"/>
      <c r="E822" s="10"/>
      <c r="F822" s="7"/>
      <c r="H822" s="6"/>
      <c r="I822" s="7"/>
      <c r="K822" s="11"/>
    </row>
    <row r="823">
      <c r="A823" s="10"/>
      <c r="E823" s="10"/>
      <c r="F823" s="7"/>
      <c r="H823" s="6"/>
      <c r="I823" s="7"/>
      <c r="K823" s="11"/>
    </row>
    <row r="824">
      <c r="A824" s="10"/>
      <c r="E824" s="10"/>
      <c r="F824" s="7"/>
      <c r="H824" s="6"/>
      <c r="I824" s="7"/>
      <c r="K824" s="11"/>
    </row>
    <row r="825">
      <c r="A825" s="10"/>
      <c r="E825" s="10"/>
      <c r="F825" s="7"/>
      <c r="H825" s="6"/>
      <c r="I825" s="7"/>
      <c r="K825" s="11"/>
    </row>
    <row r="826">
      <c r="A826" s="10"/>
      <c r="E826" s="10"/>
      <c r="F826" s="7"/>
      <c r="H826" s="6"/>
      <c r="I826" s="7"/>
      <c r="K826" s="11"/>
    </row>
    <row r="827">
      <c r="A827" s="10"/>
      <c r="E827" s="10"/>
      <c r="F827" s="7"/>
      <c r="H827" s="6"/>
      <c r="I827" s="7"/>
      <c r="K827" s="11"/>
    </row>
    <row r="828">
      <c r="A828" s="10"/>
      <c r="E828" s="10"/>
      <c r="F828" s="7"/>
      <c r="H828" s="6"/>
      <c r="I828" s="7"/>
      <c r="K828" s="11"/>
    </row>
    <row r="829">
      <c r="A829" s="10"/>
      <c r="E829" s="10"/>
      <c r="F829" s="7"/>
      <c r="H829" s="6"/>
      <c r="I829" s="7"/>
      <c r="K829" s="11"/>
    </row>
    <row r="830">
      <c r="A830" s="10"/>
      <c r="E830" s="10"/>
      <c r="F830" s="7"/>
      <c r="H830" s="6"/>
      <c r="I830" s="7"/>
      <c r="K830" s="11"/>
    </row>
    <row r="831">
      <c r="A831" s="10"/>
      <c r="E831" s="10"/>
      <c r="F831" s="7"/>
      <c r="H831" s="6"/>
      <c r="I831" s="7"/>
      <c r="K831" s="11"/>
    </row>
    <row r="832">
      <c r="A832" s="10"/>
      <c r="E832" s="10"/>
      <c r="F832" s="7"/>
      <c r="H832" s="6"/>
      <c r="I832" s="7"/>
      <c r="K832" s="11"/>
    </row>
    <row r="833">
      <c r="A833" s="10"/>
      <c r="E833" s="10"/>
      <c r="F833" s="7"/>
      <c r="H833" s="6"/>
      <c r="I833" s="7"/>
      <c r="K833" s="11"/>
    </row>
    <row r="834">
      <c r="A834" s="10"/>
      <c r="E834" s="10"/>
      <c r="F834" s="7"/>
      <c r="H834" s="6"/>
      <c r="I834" s="7"/>
      <c r="K834" s="11"/>
    </row>
    <row r="835">
      <c r="A835" s="10"/>
      <c r="E835" s="10"/>
      <c r="F835" s="7"/>
      <c r="H835" s="6"/>
      <c r="I835" s="7"/>
      <c r="K835" s="11"/>
    </row>
    <row r="836">
      <c r="A836" s="10"/>
      <c r="E836" s="10"/>
      <c r="F836" s="7"/>
      <c r="H836" s="6"/>
      <c r="I836" s="7"/>
      <c r="K836" s="11"/>
    </row>
    <row r="837">
      <c r="A837" s="10"/>
      <c r="E837" s="10"/>
      <c r="F837" s="7"/>
      <c r="H837" s="6"/>
      <c r="I837" s="7"/>
      <c r="K837" s="11"/>
    </row>
    <row r="838">
      <c r="A838" s="10"/>
      <c r="E838" s="10"/>
      <c r="F838" s="7"/>
      <c r="H838" s="6"/>
      <c r="I838" s="7"/>
      <c r="K838" s="11"/>
    </row>
    <row r="839">
      <c r="A839" s="10"/>
      <c r="E839" s="10"/>
      <c r="F839" s="7"/>
      <c r="H839" s="6"/>
      <c r="I839" s="7"/>
      <c r="K839" s="11"/>
    </row>
    <row r="840">
      <c r="A840" s="10"/>
      <c r="E840" s="10"/>
      <c r="F840" s="7"/>
      <c r="H840" s="6"/>
      <c r="I840" s="7"/>
      <c r="K840" s="11"/>
    </row>
    <row r="841">
      <c r="A841" s="10"/>
      <c r="E841" s="10"/>
      <c r="F841" s="7"/>
      <c r="H841" s="6"/>
      <c r="I841" s="7"/>
      <c r="K841" s="11"/>
    </row>
    <row r="842">
      <c r="A842" s="10"/>
      <c r="E842" s="10"/>
      <c r="F842" s="7"/>
      <c r="H842" s="6"/>
      <c r="I842" s="7"/>
      <c r="K842" s="11"/>
    </row>
    <row r="843">
      <c r="A843" s="10"/>
      <c r="E843" s="10"/>
      <c r="F843" s="7"/>
      <c r="H843" s="6"/>
      <c r="I843" s="7"/>
      <c r="K843" s="11"/>
    </row>
    <row r="844">
      <c r="A844" s="10"/>
      <c r="E844" s="10"/>
      <c r="F844" s="7"/>
      <c r="H844" s="6"/>
      <c r="I844" s="7"/>
      <c r="K844" s="11"/>
    </row>
    <row r="845">
      <c r="A845" s="10"/>
      <c r="E845" s="10"/>
      <c r="F845" s="7"/>
      <c r="H845" s="6"/>
      <c r="I845" s="7"/>
      <c r="K845" s="11"/>
    </row>
    <row r="846">
      <c r="A846" s="10"/>
      <c r="E846" s="10"/>
      <c r="F846" s="7"/>
      <c r="H846" s="6"/>
      <c r="I846" s="7"/>
      <c r="K846" s="11"/>
    </row>
    <row r="847">
      <c r="A847" s="10"/>
      <c r="E847" s="10"/>
      <c r="F847" s="7"/>
      <c r="H847" s="6"/>
      <c r="I847" s="7"/>
      <c r="K847" s="11"/>
    </row>
    <row r="848">
      <c r="A848" s="10"/>
      <c r="E848" s="10"/>
      <c r="F848" s="7"/>
      <c r="H848" s="6"/>
      <c r="I848" s="7"/>
      <c r="K848" s="11"/>
    </row>
    <row r="849">
      <c r="A849" s="10"/>
      <c r="E849" s="10"/>
      <c r="F849" s="7"/>
      <c r="H849" s="6"/>
      <c r="I849" s="7"/>
      <c r="K849" s="11"/>
    </row>
    <row r="850">
      <c r="A850" s="10"/>
      <c r="E850" s="10"/>
      <c r="F850" s="7"/>
      <c r="H850" s="6"/>
      <c r="I850" s="7"/>
      <c r="K850" s="11"/>
    </row>
    <row r="851">
      <c r="A851" s="10"/>
      <c r="E851" s="10"/>
      <c r="F851" s="7"/>
      <c r="H851" s="6"/>
      <c r="I851" s="7"/>
      <c r="K851" s="11"/>
    </row>
    <row r="852">
      <c r="A852" s="10"/>
      <c r="E852" s="10"/>
      <c r="F852" s="7"/>
      <c r="H852" s="6"/>
      <c r="I852" s="7"/>
      <c r="K852" s="11"/>
    </row>
    <row r="853">
      <c r="A853" s="10"/>
      <c r="E853" s="10"/>
      <c r="F853" s="7"/>
      <c r="H853" s="6"/>
      <c r="I853" s="7"/>
      <c r="K853" s="11"/>
    </row>
    <row r="854">
      <c r="A854" s="10"/>
      <c r="E854" s="10"/>
      <c r="F854" s="7"/>
      <c r="H854" s="6"/>
      <c r="I854" s="7"/>
      <c r="K854" s="11"/>
    </row>
    <row r="855">
      <c r="A855" s="10"/>
      <c r="E855" s="10"/>
      <c r="F855" s="7"/>
      <c r="H855" s="6"/>
      <c r="I855" s="7"/>
      <c r="K855" s="11"/>
    </row>
    <row r="856">
      <c r="A856" s="10"/>
      <c r="E856" s="10"/>
      <c r="F856" s="7"/>
      <c r="H856" s="6"/>
      <c r="I856" s="7"/>
      <c r="K856" s="11"/>
    </row>
    <row r="857">
      <c r="A857" s="10"/>
      <c r="E857" s="10"/>
      <c r="F857" s="7"/>
      <c r="H857" s="6"/>
      <c r="I857" s="7"/>
      <c r="K857" s="11"/>
    </row>
    <row r="858">
      <c r="A858" s="10"/>
      <c r="E858" s="10"/>
      <c r="F858" s="7"/>
      <c r="H858" s="6"/>
      <c r="I858" s="7"/>
      <c r="K858" s="11"/>
    </row>
    <row r="859">
      <c r="A859" s="10"/>
      <c r="E859" s="10"/>
      <c r="F859" s="7"/>
      <c r="H859" s="6"/>
      <c r="I859" s="7"/>
      <c r="K859" s="11"/>
    </row>
    <row r="860">
      <c r="A860" s="10"/>
      <c r="E860" s="10"/>
      <c r="F860" s="7"/>
      <c r="H860" s="6"/>
      <c r="I860" s="7"/>
      <c r="K860" s="11"/>
    </row>
    <row r="861">
      <c r="A861" s="10"/>
      <c r="E861" s="10"/>
      <c r="F861" s="7"/>
      <c r="H861" s="6"/>
      <c r="I861" s="7"/>
      <c r="K861" s="11"/>
    </row>
    <row r="862">
      <c r="A862" s="10"/>
      <c r="E862" s="10"/>
      <c r="F862" s="7"/>
      <c r="H862" s="6"/>
      <c r="I862" s="7"/>
      <c r="K862" s="11"/>
    </row>
    <row r="863">
      <c r="A863" s="10"/>
      <c r="E863" s="10"/>
      <c r="F863" s="7"/>
      <c r="H863" s="6"/>
      <c r="I863" s="7"/>
      <c r="K863" s="11"/>
    </row>
    <row r="864">
      <c r="A864" s="10"/>
      <c r="E864" s="10"/>
      <c r="F864" s="7"/>
      <c r="H864" s="6"/>
      <c r="I864" s="7"/>
      <c r="K864" s="11"/>
    </row>
    <row r="865">
      <c r="A865" s="10"/>
      <c r="E865" s="10"/>
      <c r="F865" s="7"/>
      <c r="H865" s="6"/>
      <c r="I865" s="7"/>
      <c r="K865" s="11"/>
    </row>
    <row r="866">
      <c r="A866" s="10"/>
      <c r="E866" s="10"/>
      <c r="F866" s="7"/>
      <c r="H866" s="6"/>
      <c r="I866" s="7"/>
      <c r="K866" s="11"/>
    </row>
    <row r="867">
      <c r="A867" s="10"/>
      <c r="E867" s="10"/>
      <c r="F867" s="7"/>
      <c r="H867" s="6"/>
      <c r="I867" s="7"/>
      <c r="K867" s="11"/>
    </row>
    <row r="868">
      <c r="A868" s="10"/>
      <c r="E868" s="10"/>
      <c r="F868" s="7"/>
      <c r="H868" s="6"/>
      <c r="I868" s="7"/>
      <c r="K868" s="11"/>
    </row>
    <row r="869">
      <c r="A869" s="10"/>
      <c r="E869" s="10"/>
      <c r="F869" s="7"/>
      <c r="H869" s="6"/>
      <c r="I869" s="7"/>
      <c r="K869" s="11"/>
    </row>
    <row r="870">
      <c r="A870" s="10"/>
      <c r="E870" s="10"/>
      <c r="F870" s="7"/>
      <c r="H870" s="6"/>
      <c r="I870" s="7"/>
      <c r="K870" s="11"/>
    </row>
    <row r="871">
      <c r="A871" s="10"/>
      <c r="E871" s="10"/>
      <c r="F871" s="7"/>
      <c r="H871" s="6"/>
      <c r="I871" s="7"/>
      <c r="K871" s="11"/>
    </row>
    <row r="872">
      <c r="A872" s="10"/>
      <c r="E872" s="10"/>
      <c r="F872" s="7"/>
      <c r="H872" s="6"/>
      <c r="I872" s="7"/>
      <c r="K872" s="11"/>
    </row>
    <row r="873">
      <c r="A873" s="10"/>
      <c r="E873" s="10"/>
      <c r="F873" s="7"/>
      <c r="H873" s="6"/>
      <c r="I873" s="7"/>
      <c r="K873" s="11"/>
    </row>
    <row r="874">
      <c r="A874" s="10"/>
      <c r="E874" s="10"/>
      <c r="F874" s="7"/>
      <c r="H874" s="6"/>
      <c r="I874" s="7"/>
      <c r="K874" s="11"/>
    </row>
    <row r="875">
      <c r="A875" s="10"/>
      <c r="E875" s="10"/>
      <c r="F875" s="7"/>
      <c r="H875" s="6"/>
      <c r="I875" s="7"/>
      <c r="K875" s="11"/>
    </row>
    <row r="876">
      <c r="A876" s="10"/>
      <c r="E876" s="10"/>
      <c r="F876" s="7"/>
      <c r="H876" s="6"/>
      <c r="I876" s="7"/>
      <c r="K876" s="11"/>
    </row>
    <row r="877">
      <c r="A877" s="10"/>
      <c r="E877" s="10"/>
      <c r="F877" s="7"/>
      <c r="H877" s="6"/>
      <c r="I877" s="7"/>
      <c r="K877" s="11"/>
    </row>
    <row r="878">
      <c r="A878" s="10"/>
      <c r="E878" s="10"/>
      <c r="F878" s="7"/>
      <c r="H878" s="6"/>
      <c r="I878" s="7"/>
      <c r="K878" s="11"/>
    </row>
    <row r="879">
      <c r="A879" s="10"/>
      <c r="E879" s="10"/>
      <c r="F879" s="7"/>
      <c r="H879" s="6"/>
      <c r="I879" s="7"/>
      <c r="K879" s="11"/>
    </row>
    <row r="880">
      <c r="A880" s="10"/>
      <c r="E880" s="10"/>
      <c r="F880" s="7"/>
      <c r="H880" s="6"/>
      <c r="I880" s="7"/>
      <c r="K880" s="11"/>
    </row>
    <row r="881">
      <c r="A881" s="10"/>
      <c r="E881" s="10"/>
      <c r="F881" s="7"/>
      <c r="H881" s="6"/>
      <c r="I881" s="7"/>
      <c r="K881" s="11"/>
    </row>
    <row r="882">
      <c r="A882" s="10"/>
      <c r="E882" s="10"/>
      <c r="F882" s="7"/>
      <c r="H882" s="6"/>
      <c r="I882" s="7"/>
      <c r="K882" s="11"/>
    </row>
    <row r="883">
      <c r="A883" s="10"/>
      <c r="E883" s="10"/>
      <c r="F883" s="7"/>
      <c r="H883" s="6"/>
      <c r="I883" s="7"/>
      <c r="K883" s="11"/>
    </row>
    <row r="884">
      <c r="A884" s="10"/>
      <c r="E884" s="10"/>
      <c r="F884" s="7"/>
      <c r="H884" s="6"/>
      <c r="I884" s="7"/>
      <c r="K884" s="11"/>
    </row>
    <row r="885">
      <c r="A885" s="10"/>
      <c r="E885" s="10"/>
      <c r="F885" s="7"/>
      <c r="H885" s="6"/>
      <c r="I885" s="7"/>
      <c r="K885" s="11"/>
    </row>
    <row r="886">
      <c r="A886" s="10"/>
      <c r="E886" s="10"/>
      <c r="F886" s="7"/>
      <c r="H886" s="6"/>
      <c r="I886" s="7"/>
      <c r="K886" s="11"/>
    </row>
    <row r="887">
      <c r="A887" s="10"/>
      <c r="E887" s="10"/>
      <c r="F887" s="7"/>
      <c r="H887" s="6"/>
      <c r="I887" s="7"/>
      <c r="K887" s="11"/>
    </row>
    <row r="888">
      <c r="A888" s="10"/>
      <c r="E888" s="10"/>
      <c r="F888" s="7"/>
      <c r="H888" s="6"/>
      <c r="I888" s="7"/>
      <c r="K888" s="11"/>
    </row>
    <row r="889">
      <c r="A889" s="10"/>
      <c r="E889" s="10"/>
      <c r="F889" s="7"/>
      <c r="H889" s="6"/>
      <c r="I889" s="7"/>
      <c r="K889" s="11"/>
    </row>
    <row r="890">
      <c r="A890" s="10"/>
      <c r="E890" s="10"/>
      <c r="F890" s="7"/>
      <c r="H890" s="6"/>
      <c r="I890" s="7"/>
      <c r="K890" s="11"/>
    </row>
    <row r="891">
      <c r="A891" s="10"/>
      <c r="E891" s="10"/>
      <c r="F891" s="7"/>
      <c r="H891" s="6"/>
      <c r="I891" s="7"/>
      <c r="K891" s="11"/>
    </row>
    <row r="892">
      <c r="A892" s="10"/>
      <c r="E892" s="10"/>
      <c r="F892" s="7"/>
      <c r="H892" s="6"/>
      <c r="I892" s="7"/>
      <c r="K892" s="11"/>
    </row>
    <row r="893">
      <c r="A893" s="10"/>
      <c r="E893" s="10"/>
      <c r="F893" s="7"/>
      <c r="H893" s="6"/>
      <c r="I893" s="7"/>
      <c r="K893" s="11"/>
    </row>
    <row r="894">
      <c r="A894" s="10"/>
      <c r="E894" s="10"/>
      <c r="F894" s="7"/>
      <c r="H894" s="6"/>
      <c r="I894" s="7"/>
      <c r="K894" s="11"/>
    </row>
    <row r="895">
      <c r="A895" s="10"/>
      <c r="E895" s="10"/>
      <c r="F895" s="7"/>
      <c r="H895" s="6"/>
      <c r="I895" s="7"/>
      <c r="K895" s="11"/>
    </row>
    <row r="896">
      <c r="A896" s="10"/>
      <c r="E896" s="10"/>
      <c r="F896" s="7"/>
      <c r="H896" s="6"/>
      <c r="I896" s="7"/>
      <c r="K896" s="11"/>
    </row>
    <row r="897">
      <c r="A897" s="10"/>
      <c r="E897" s="10"/>
      <c r="F897" s="7"/>
      <c r="H897" s="6"/>
      <c r="I897" s="7"/>
      <c r="K897" s="11"/>
    </row>
    <row r="898">
      <c r="A898" s="10"/>
      <c r="E898" s="10"/>
      <c r="F898" s="7"/>
      <c r="H898" s="6"/>
      <c r="I898" s="7"/>
      <c r="K898" s="11"/>
    </row>
    <row r="899">
      <c r="A899" s="10"/>
      <c r="E899" s="10"/>
      <c r="F899" s="7"/>
      <c r="H899" s="6"/>
      <c r="I899" s="7"/>
      <c r="K899" s="11"/>
    </row>
    <row r="900">
      <c r="A900" s="10"/>
      <c r="E900" s="10"/>
      <c r="F900" s="7"/>
      <c r="H900" s="6"/>
      <c r="I900" s="7"/>
      <c r="K900" s="11"/>
    </row>
    <row r="901">
      <c r="A901" s="10"/>
      <c r="E901" s="10"/>
      <c r="F901" s="7"/>
      <c r="H901" s="6"/>
      <c r="I901" s="7"/>
      <c r="K901" s="11"/>
    </row>
    <row r="902">
      <c r="A902" s="10"/>
      <c r="E902" s="10"/>
      <c r="F902" s="7"/>
      <c r="H902" s="6"/>
      <c r="I902" s="7"/>
      <c r="K902" s="11"/>
    </row>
    <row r="903">
      <c r="A903" s="10"/>
      <c r="E903" s="10"/>
      <c r="F903" s="7"/>
      <c r="H903" s="6"/>
      <c r="I903" s="7"/>
      <c r="K903" s="11"/>
    </row>
    <row r="904">
      <c r="A904" s="10"/>
      <c r="E904" s="10"/>
      <c r="F904" s="7"/>
      <c r="H904" s="6"/>
      <c r="I904" s="7"/>
      <c r="K904" s="11"/>
    </row>
    <row r="905">
      <c r="A905" s="10"/>
      <c r="E905" s="10"/>
      <c r="F905" s="7"/>
      <c r="H905" s="6"/>
      <c r="I905" s="7"/>
      <c r="K905" s="11"/>
    </row>
    <row r="906">
      <c r="A906" s="10"/>
      <c r="E906" s="10"/>
      <c r="F906" s="7"/>
      <c r="H906" s="6"/>
      <c r="I906" s="7"/>
      <c r="K906" s="11"/>
    </row>
    <row r="907">
      <c r="A907" s="10"/>
      <c r="E907" s="10"/>
      <c r="F907" s="7"/>
      <c r="H907" s="6"/>
      <c r="I907" s="7"/>
      <c r="K907" s="11"/>
    </row>
    <row r="908">
      <c r="A908" s="10"/>
      <c r="E908" s="10"/>
      <c r="F908" s="7"/>
      <c r="H908" s="6"/>
      <c r="I908" s="7"/>
      <c r="K908" s="11"/>
    </row>
    <row r="909">
      <c r="A909" s="10"/>
      <c r="E909" s="10"/>
      <c r="F909" s="7"/>
      <c r="H909" s="6"/>
      <c r="I909" s="7"/>
      <c r="K909" s="11"/>
    </row>
    <row r="910">
      <c r="A910" s="10"/>
      <c r="E910" s="10"/>
      <c r="F910" s="7"/>
      <c r="H910" s="6"/>
      <c r="I910" s="7"/>
      <c r="K910" s="11"/>
    </row>
    <row r="911">
      <c r="A911" s="10"/>
      <c r="E911" s="10"/>
      <c r="F911" s="7"/>
      <c r="H911" s="6"/>
      <c r="I911" s="7"/>
      <c r="K911" s="11"/>
    </row>
    <row r="912">
      <c r="A912" s="10"/>
      <c r="E912" s="10"/>
      <c r="F912" s="7"/>
      <c r="H912" s="6"/>
      <c r="I912" s="7"/>
      <c r="K912" s="11"/>
    </row>
    <row r="913">
      <c r="A913" s="10"/>
      <c r="E913" s="10"/>
      <c r="F913" s="7"/>
      <c r="H913" s="6"/>
      <c r="I913" s="7"/>
      <c r="K913" s="11"/>
    </row>
    <row r="914">
      <c r="A914" s="10"/>
      <c r="E914" s="10"/>
      <c r="F914" s="7"/>
      <c r="H914" s="6"/>
      <c r="I914" s="7"/>
      <c r="K914" s="11"/>
    </row>
    <row r="915">
      <c r="A915" s="10"/>
      <c r="E915" s="10"/>
      <c r="F915" s="7"/>
      <c r="H915" s="6"/>
      <c r="I915" s="7"/>
      <c r="K915" s="11"/>
    </row>
    <row r="916">
      <c r="A916" s="10"/>
      <c r="E916" s="10"/>
      <c r="F916" s="7"/>
      <c r="H916" s="6"/>
      <c r="I916" s="7"/>
      <c r="K916" s="11"/>
    </row>
    <row r="917">
      <c r="A917" s="10"/>
      <c r="E917" s="10"/>
      <c r="F917" s="7"/>
      <c r="H917" s="6"/>
      <c r="I917" s="7"/>
      <c r="K917" s="11"/>
    </row>
    <row r="918">
      <c r="A918" s="10"/>
      <c r="E918" s="10"/>
      <c r="F918" s="7"/>
      <c r="H918" s="6"/>
      <c r="I918" s="7"/>
      <c r="K918" s="11"/>
    </row>
    <row r="919">
      <c r="A919" s="10"/>
      <c r="E919" s="10"/>
      <c r="F919" s="7"/>
      <c r="H919" s="6"/>
      <c r="I919" s="7"/>
      <c r="K919" s="11"/>
    </row>
    <row r="920">
      <c r="A920" s="10"/>
      <c r="E920" s="10"/>
      <c r="F920" s="7"/>
      <c r="H920" s="6"/>
      <c r="I920" s="7"/>
      <c r="K920" s="11"/>
    </row>
    <row r="921">
      <c r="A921" s="10"/>
      <c r="E921" s="10"/>
      <c r="F921" s="7"/>
      <c r="H921" s="6"/>
      <c r="I921" s="7"/>
      <c r="K921" s="11"/>
    </row>
    <row r="922">
      <c r="A922" s="10"/>
      <c r="E922" s="10"/>
      <c r="F922" s="7"/>
      <c r="H922" s="6"/>
      <c r="I922" s="7"/>
      <c r="K922" s="11"/>
    </row>
    <row r="923">
      <c r="A923" s="10"/>
      <c r="E923" s="10"/>
      <c r="F923" s="7"/>
      <c r="H923" s="6"/>
      <c r="I923" s="7"/>
      <c r="K923" s="11"/>
    </row>
    <row r="924">
      <c r="A924" s="10"/>
      <c r="E924" s="10"/>
      <c r="F924" s="7"/>
      <c r="H924" s="6"/>
      <c r="I924" s="7"/>
      <c r="K924" s="11"/>
    </row>
    <row r="925">
      <c r="A925" s="10"/>
      <c r="E925" s="10"/>
      <c r="F925" s="7"/>
      <c r="H925" s="6"/>
      <c r="I925" s="7"/>
      <c r="K925" s="11"/>
    </row>
    <row r="926">
      <c r="A926" s="10"/>
      <c r="E926" s="10"/>
      <c r="F926" s="7"/>
      <c r="H926" s="6"/>
      <c r="I926" s="7"/>
      <c r="K926" s="11"/>
    </row>
    <row r="927">
      <c r="A927" s="10"/>
      <c r="E927" s="10"/>
      <c r="F927" s="7"/>
      <c r="H927" s="6"/>
      <c r="I927" s="7"/>
      <c r="K927" s="11"/>
    </row>
    <row r="928">
      <c r="A928" s="10"/>
      <c r="E928" s="10"/>
      <c r="F928" s="7"/>
      <c r="H928" s="6"/>
      <c r="I928" s="7"/>
      <c r="K928" s="11"/>
    </row>
    <row r="929">
      <c r="A929" s="10"/>
      <c r="E929" s="10"/>
      <c r="F929" s="7"/>
      <c r="H929" s="6"/>
      <c r="I929" s="7"/>
      <c r="K929" s="11"/>
    </row>
    <row r="930">
      <c r="A930" s="10"/>
      <c r="E930" s="10"/>
      <c r="F930" s="7"/>
      <c r="H930" s="6"/>
      <c r="I930" s="7"/>
      <c r="K930" s="11"/>
    </row>
    <row r="931">
      <c r="A931" s="10"/>
      <c r="E931" s="10"/>
      <c r="F931" s="7"/>
      <c r="H931" s="6"/>
      <c r="I931" s="7"/>
      <c r="K931" s="11"/>
    </row>
    <row r="932">
      <c r="A932" s="10"/>
      <c r="E932" s="10"/>
      <c r="F932" s="7"/>
      <c r="H932" s="6"/>
      <c r="I932" s="7"/>
      <c r="K932" s="11"/>
    </row>
    <row r="933">
      <c r="A933" s="10"/>
      <c r="E933" s="10"/>
      <c r="F933" s="7"/>
      <c r="H933" s="6"/>
      <c r="I933" s="7"/>
      <c r="K933" s="11"/>
    </row>
    <row r="934">
      <c r="A934" s="10"/>
      <c r="E934" s="10"/>
      <c r="F934" s="7"/>
      <c r="H934" s="6"/>
      <c r="I934" s="7"/>
      <c r="K934" s="11"/>
    </row>
    <row r="935">
      <c r="A935" s="10"/>
      <c r="E935" s="10"/>
      <c r="F935" s="7"/>
      <c r="H935" s="6"/>
      <c r="I935" s="7"/>
      <c r="K935" s="11"/>
    </row>
    <row r="936">
      <c r="A936" s="10"/>
      <c r="E936" s="10"/>
      <c r="F936" s="7"/>
      <c r="H936" s="6"/>
      <c r="I936" s="7"/>
      <c r="K936" s="11"/>
    </row>
    <row r="937">
      <c r="A937" s="10"/>
      <c r="E937" s="10"/>
      <c r="F937" s="7"/>
      <c r="H937" s="6"/>
      <c r="I937" s="7"/>
      <c r="K937" s="11"/>
    </row>
    <row r="938">
      <c r="A938" s="10"/>
      <c r="E938" s="10"/>
      <c r="F938" s="7"/>
      <c r="H938" s="6"/>
      <c r="I938" s="7"/>
      <c r="K938" s="11"/>
    </row>
    <row r="939">
      <c r="A939" s="10"/>
      <c r="E939" s="10"/>
      <c r="F939" s="7"/>
      <c r="H939" s="6"/>
      <c r="I939" s="7"/>
      <c r="K939" s="11"/>
    </row>
    <row r="940">
      <c r="A940" s="10"/>
      <c r="E940" s="10"/>
      <c r="F940" s="7"/>
      <c r="H940" s="6"/>
      <c r="I940" s="7"/>
      <c r="K940" s="11"/>
    </row>
    <row r="941">
      <c r="A941" s="10"/>
      <c r="E941" s="10"/>
      <c r="F941" s="7"/>
      <c r="H941" s="6"/>
      <c r="I941" s="7"/>
      <c r="K941" s="11"/>
    </row>
    <row r="942">
      <c r="A942" s="10"/>
      <c r="E942" s="10"/>
      <c r="F942" s="7"/>
      <c r="H942" s="6"/>
      <c r="I942" s="7"/>
      <c r="K942" s="11"/>
    </row>
    <row r="943">
      <c r="A943" s="10"/>
      <c r="E943" s="10"/>
      <c r="F943" s="7"/>
      <c r="H943" s="6"/>
      <c r="I943" s="7"/>
      <c r="K943" s="11"/>
    </row>
    <row r="944">
      <c r="A944" s="10"/>
      <c r="E944" s="10"/>
      <c r="F944" s="7"/>
      <c r="H944" s="6"/>
      <c r="I944" s="7"/>
      <c r="K944" s="11"/>
    </row>
    <row r="945">
      <c r="A945" s="10"/>
      <c r="E945" s="10"/>
      <c r="F945" s="7"/>
      <c r="H945" s="6"/>
      <c r="I945" s="7"/>
      <c r="K945" s="11"/>
    </row>
    <row r="946">
      <c r="A946" s="10"/>
      <c r="E946" s="10"/>
      <c r="F946" s="7"/>
      <c r="H946" s="6"/>
      <c r="I946" s="7"/>
      <c r="K946" s="11"/>
    </row>
    <row r="947">
      <c r="A947" s="10"/>
      <c r="E947" s="10"/>
      <c r="F947" s="7"/>
      <c r="H947" s="6"/>
      <c r="I947" s="7"/>
      <c r="K947" s="11"/>
    </row>
    <row r="948">
      <c r="A948" s="10"/>
      <c r="E948" s="10"/>
      <c r="F948" s="7"/>
      <c r="H948" s="6"/>
      <c r="I948" s="7"/>
      <c r="K948" s="11"/>
    </row>
    <row r="949">
      <c r="A949" s="10"/>
      <c r="E949" s="10"/>
      <c r="F949" s="7"/>
      <c r="H949" s="6"/>
      <c r="I949" s="7"/>
      <c r="K949" s="11"/>
    </row>
    <row r="950">
      <c r="A950" s="10"/>
      <c r="E950" s="10"/>
      <c r="F950" s="7"/>
      <c r="H950" s="6"/>
      <c r="I950" s="7"/>
      <c r="K950" s="11"/>
    </row>
    <row r="951">
      <c r="A951" s="10"/>
      <c r="E951" s="10"/>
      <c r="F951" s="7"/>
      <c r="H951" s="6"/>
      <c r="I951" s="7"/>
      <c r="K951" s="11"/>
    </row>
    <row r="952">
      <c r="A952" s="10"/>
      <c r="E952" s="10"/>
      <c r="F952" s="7"/>
      <c r="H952" s="6"/>
      <c r="I952" s="7"/>
      <c r="K952" s="11"/>
    </row>
    <row r="953">
      <c r="A953" s="10"/>
      <c r="E953" s="10"/>
      <c r="F953" s="7"/>
      <c r="H953" s="6"/>
      <c r="I953" s="7"/>
      <c r="K953" s="11"/>
    </row>
    <row r="954">
      <c r="A954" s="10"/>
      <c r="E954" s="10"/>
      <c r="F954" s="7"/>
      <c r="H954" s="6"/>
      <c r="I954" s="7"/>
      <c r="K954" s="11"/>
    </row>
    <row r="955">
      <c r="A955" s="10"/>
      <c r="E955" s="10"/>
      <c r="F955" s="7"/>
      <c r="H955" s="6"/>
      <c r="I955" s="7"/>
      <c r="K955" s="11"/>
    </row>
    <row r="956">
      <c r="A956" s="10"/>
      <c r="E956" s="10"/>
      <c r="F956" s="7"/>
      <c r="H956" s="6"/>
      <c r="I956" s="7"/>
      <c r="K956" s="11"/>
    </row>
    <row r="957">
      <c r="A957" s="10"/>
      <c r="E957" s="10"/>
      <c r="F957" s="7"/>
      <c r="H957" s="6"/>
      <c r="I957" s="7"/>
      <c r="K957" s="11"/>
    </row>
    <row r="958">
      <c r="A958" s="10"/>
      <c r="E958" s="10"/>
      <c r="F958" s="7"/>
      <c r="H958" s="6"/>
      <c r="I958" s="7"/>
      <c r="K958" s="11"/>
    </row>
    <row r="959">
      <c r="A959" s="10"/>
      <c r="E959" s="10"/>
      <c r="F959" s="7"/>
      <c r="H959" s="6"/>
      <c r="I959" s="7"/>
      <c r="K959" s="11"/>
    </row>
    <row r="960">
      <c r="A960" s="10"/>
      <c r="E960" s="10"/>
      <c r="F960" s="7"/>
      <c r="H960" s="6"/>
      <c r="I960" s="7"/>
      <c r="K960" s="11"/>
    </row>
    <row r="961">
      <c r="A961" s="10"/>
      <c r="E961" s="10"/>
      <c r="F961" s="7"/>
      <c r="H961" s="6"/>
      <c r="I961" s="7"/>
      <c r="K961" s="11"/>
    </row>
    <row r="962">
      <c r="A962" s="10"/>
      <c r="E962" s="10"/>
      <c r="F962" s="7"/>
      <c r="H962" s="6"/>
      <c r="I962" s="7"/>
      <c r="K962" s="11"/>
    </row>
    <row r="963">
      <c r="A963" s="10"/>
      <c r="E963" s="10"/>
      <c r="F963" s="7"/>
      <c r="H963" s="6"/>
      <c r="I963" s="7"/>
      <c r="K963" s="11"/>
    </row>
    <row r="964">
      <c r="A964" s="10"/>
      <c r="E964" s="10"/>
      <c r="F964" s="7"/>
      <c r="H964" s="6"/>
      <c r="I964" s="7"/>
      <c r="K964" s="11"/>
    </row>
    <row r="965">
      <c r="A965" s="10"/>
      <c r="E965" s="10"/>
      <c r="F965" s="7"/>
      <c r="H965" s="6"/>
      <c r="I965" s="7"/>
      <c r="K965" s="11"/>
    </row>
    <row r="966">
      <c r="A966" s="10"/>
      <c r="E966" s="10"/>
      <c r="F966" s="7"/>
      <c r="H966" s="6"/>
      <c r="I966" s="7"/>
      <c r="K966" s="11"/>
    </row>
    <row r="967">
      <c r="A967" s="10"/>
      <c r="E967" s="10"/>
      <c r="F967" s="7"/>
      <c r="H967" s="6"/>
      <c r="I967" s="7"/>
      <c r="K967" s="11"/>
    </row>
    <row r="968">
      <c r="A968" s="10"/>
      <c r="E968" s="10"/>
      <c r="F968" s="7"/>
      <c r="H968" s="6"/>
      <c r="I968" s="7"/>
      <c r="K968" s="11"/>
    </row>
    <row r="969">
      <c r="A969" s="10"/>
      <c r="E969" s="10"/>
      <c r="F969" s="7"/>
      <c r="H969" s="6"/>
      <c r="I969" s="7"/>
      <c r="K969" s="11"/>
    </row>
    <row r="970">
      <c r="A970" s="10"/>
      <c r="E970" s="10"/>
      <c r="F970" s="7"/>
      <c r="H970" s="6"/>
      <c r="I970" s="7"/>
      <c r="K970" s="11"/>
    </row>
    <row r="971">
      <c r="A971" s="10"/>
      <c r="E971" s="10"/>
      <c r="F971" s="7"/>
      <c r="H971" s="6"/>
      <c r="I971" s="7"/>
      <c r="K971" s="11"/>
    </row>
    <row r="972">
      <c r="A972" s="10"/>
      <c r="E972" s="10"/>
      <c r="F972" s="7"/>
      <c r="H972" s="6"/>
      <c r="I972" s="7"/>
      <c r="K972" s="11"/>
    </row>
    <row r="973">
      <c r="A973" s="10"/>
      <c r="E973" s="10"/>
      <c r="F973" s="7"/>
      <c r="H973" s="6"/>
      <c r="I973" s="7"/>
      <c r="K973" s="11"/>
    </row>
    <row r="974">
      <c r="A974" s="10"/>
      <c r="E974" s="10"/>
      <c r="F974" s="7"/>
      <c r="H974" s="6"/>
      <c r="I974" s="7"/>
      <c r="K974" s="11"/>
    </row>
    <row r="975">
      <c r="A975" s="10"/>
      <c r="E975" s="10"/>
      <c r="F975" s="7"/>
      <c r="H975" s="6"/>
      <c r="I975" s="7"/>
      <c r="K975" s="11"/>
    </row>
    <row r="976">
      <c r="A976" s="10"/>
      <c r="E976" s="10"/>
      <c r="F976" s="7"/>
      <c r="H976" s="6"/>
      <c r="I976" s="7"/>
      <c r="K976" s="11"/>
    </row>
    <row r="977">
      <c r="A977" s="10"/>
      <c r="E977" s="10"/>
      <c r="F977" s="7"/>
      <c r="H977" s="6"/>
      <c r="I977" s="7"/>
      <c r="K977" s="11"/>
    </row>
    <row r="978">
      <c r="A978" s="10"/>
      <c r="E978" s="10"/>
      <c r="F978" s="7"/>
      <c r="H978" s="6"/>
      <c r="I978" s="7"/>
      <c r="K978" s="11"/>
    </row>
    <row r="979">
      <c r="A979" s="10"/>
      <c r="E979" s="10"/>
      <c r="F979" s="7"/>
      <c r="H979" s="6"/>
      <c r="I979" s="7"/>
      <c r="K979" s="11"/>
    </row>
    <row r="980">
      <c r="A980" s="10"/>
      <c r="E980" s="10"/>
      <c r="F980" s="7"/>
      <c r="H980" s="6"/>
      <c r="I980" s="7"/>
      <c r="K980" s="11"/>
    </row>
    <row r="981">
      <c r="A981" s="10"/>
      <c r="E981" s="10"/>
      <c r="F981" s="7"/>
      <c r="H981" s="6"/>
      <c r="I981" s="7"/>
      <c r="K981" s="11"/>
    </row>
    <row r="982">
      <c r="A982" s="10"/>
      <c r="E982" s="10"/>
      <c r="F982" s="7"/>
      <c r="H982" s="6"/>
      <c r="I982" s="7"/>
      <c r="K982" s="11"/>
    </row>
    <row r="983">
      <c r="A983" s="10"/>
      <c r="E983" s="10"/>
      <c r="F983" s="7"/>
      <c r="H983" s="6"/>
      <c r="I983" s="7"/>
      <c r="K983" s="11"/>
    </row>
    <row r="984">
      <c r="A984" s="10"/>
      <c r="E984" s="10"/>
      <c r="F984" s="7"/>
      <c r="H984" s="6"/>
      <c r="I984" s="7"/>
      <c r="K984" s="11"/>
    </row>
    <row r="985">
      <c r="A985" s="10"/>
      <c r="E985" s="10"/>
      <c r="F985" s="7"/>
      <c r="H985" s="6"/>
      <c r="I985" s="7"/>
      <c r="K985" s="11"/>
    </row>
    <row r="986">
      <c r="A986" s="10"/>
      <c r="E986" s="10"/>
      <c r="F986" s="7"/>
      <c r="H986" s="6"/>
      <c r="I986" s="7"/>
      <c r="K986" s="11"/>
    </row>
    <row r="987">
      <c r="A987" s="10"/>
      <c r="E987" s="10"/>
      <c r="F987" s="7"/>
      <c r="H987" s="6"/>
      <c r="I987" s="7"/>
      <c r="K987" s="11"/>
    </row>
    <row r="988">
      <c r="A988" s="10"/>
      <c r="E988" s="10"/>
      <c r="F988" s="7"/>
      <c r="H988" s="6"/>
      <c r="I988" s="7"/>
      <c r="K988" s="11"/>
    </row>
    <row r="989">
      <c r="A989" s="10"/>
      <c r="E989" s="10"/>
      <c r="F989" s="7"/>
      <c r="H989" s="6"/>
      <c r="I989" s="7"/>
      <c r="K989" s="11"/>
    </row>
    <row r="990">
      <c r="A990" s="10"/>
      <c r="E990" s="10"/>
      <c r="F990" s="7"/>
      <c r="H990" s="6"/>
      <c r="I990" s="7"/>
      <c r="K990" s="11"/>
    </row>
    <row r="991">
      <c r="A991" s="10"/>
      <c r="E991" s="10"/>
      <c r="F991" s="7"/>
      <c r="H991" s="6"/>
      <c r="I991" s="7"/>
      <c r="K991" s="11"/>
    </row>
    <row r="992">
      <c r="A992" s="10"/>
      <c r="E992" s="10"/>
      <c r="F992" s="7"/>
      <c r="H992" s="6"/>
      <c r="I992" s="7"/>
      <c r="K992" s="11"/>
    </row>
    <row r="993">
      <c r="A993" s="10"/>
      <c r="E993" s="10"/>
      <c r="F993" s="7"/>
      <c r="H993" s="6"/>
      <c r="I993" s="7"/>
      <c r="K993" s="11"/>
    </row>
    <row r="994">
      <c r="A994" s="10"/>
      <c r="E994" s="10"/>
      <c r="F994" s="7"/>
      <c r="H994" s="6"/>
      <c r="I994" s="7"/>
      <c r="K994" s="11"/>
    </row>
    <row r="995">
      <c r="A995" s="10"/>
      <c r="E995" s="10"/>
      <c r="F995" s="7"/>
      <c r="H995" s="6"/>
      <c r="I995" s="7"/>
      <c r="K995" s="11"/>
    </row>
    <row r="996">
      <c r="A996" s="10"/>
      <c r="E996" s="10"/>
      <c r="F996" s="7"/>
      <c r="H996" s="6"/>
      <c r="I996" s="7"/>
      <c r="K996" s="11"/>
    </row>
    <row r="997">
      <c r="A997" s="10"/>
      <c r="E997" s="10"/>
      <c r="F997" s="7"/>
      <c r="H997" s="6"/>
      <c r="I997" s="7"/>
      <c r="K997" s="11"/>
    </row>
    <row r="998">
      <c r="A998" s="10"/>
      <c r="E998" s="10"/>
      <c r="F998" s="7"/>
      <c r="H998" s="6"/>
      <c r="I998" s="7"/>
      <c r="K998" s="11"/>
    </row>
    <row r="999">
      <c r="A999" s="10"/>
      <c r="E999" s="10"/>
      <c r="F999" s="7"/>
      <c r="H999" s="6"/>
      <c r="I999" s="7"/>
      <c r="K999" s="11"/>
    </row>
    <row r="1000">
      <c r="A1000" s="10"/>
      <c r="E1000" s="10"/>
      <c r="F1000" s="7"/>
      <c r="H1000" s="6"/>
      <c r="I1000" s="7"/>
      <c r="K1000" s="11"/>
    </row>
  </sheetData>
  <autoFilter ref="$A$1:$U$151">
    <sortState ref="A1:U151">
      <sortCondition ref="K1:K151"/>
    </sortState>
  </autoFilter>
  <dataValidations>
    <dataValidation type="list" allowBlank="1" showErrorMessage="1" sqref="I2:I1000">
      <formula1>"Def globale,Def navale,Def terrestre,Mixte navale,Mixte terrestre,Off globale,Off navale,Off terrestre,Portail,Prod navale,Prod ressources,Prod terrestre,Sort,Sort ressources"</formula1>
    </dataValidation>
    <dataValidation type="list" allowBlank="1" sqref="F2:F1000">
      <formula1>'Listing Effets'!$A$2:$A$51</formula1>
    </dataValidation>
  </dataValidations>
  <drawing r:id="rId1"/>
</worksheet>
</file>